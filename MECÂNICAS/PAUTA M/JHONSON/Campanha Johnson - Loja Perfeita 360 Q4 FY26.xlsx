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E7EFECB6-D867-4F03-BCB4-3316D86BB7CA}" xr6:coauthVersionLast="47" xr6:coauthVersionMax="47" xr10:uidLastSave="{00000000-0000-0000-0000-000000000000}"/>
  <bookViews>
    <workbookView xWindow="28680" yWindow="-120" windowWidth="29040" windowHeight="1572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345" i="43" l="1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D2" i="2"/>
  <c r="DE2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CD72" i="2" s="1"/>
  <c r="AH68" i="2"/>
  <c r="CB73" i="2"/>
  <c r="CC73" i="2"/>
  <c r="CD73" i="2" s="1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CD70" i="2" s="1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D62" i="2" s="1"/>
  <c r="CB64" i="2"/>
  <c r="CC64" i="2"/>
  <c r="CD64" i="2" s="1"/>
  <c r="AG64" i="2"/>
  <c r="BE66" i="2"/>
  <c r="AH63" i="2"/>
  <c r="AG63" i="2"/>
  <c r="CC68" i="2"/>
  <c r="CD68" i="2" s="1"/>
  <c r="CB68" i="2"/>
  <c r="AH64" i="2"/>
  <c r="AG75" i="2"/>
  <c r="AH75" i="2"/>
  <c r="BT61" i="2"/>
  <c r="BE71" i="2"/>
  <c r="CC69" i="2"/>
  <c r="CD69" i="2" s="1"/>
  <c r="CB69" i="2"/>
  <c r="AG60" i="2"/>
  <c r="AH60" i="2"/>
  <c r="BE64" i="2"/>
  <c r="BM64" i="2"/>
  <c r="CC61" i="2"/>
  <c r="CD61" i="2" s="1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D60" i="2" s="1"/>
  <c r="CB74" i="2"/>
  <c r="CC74" i="2"/>
  <c r="CD74" i="2" s="1"/>
  <c r="CB76" i="2"/>
  <c r="CC76" i="2"/>
  <c r="CD76" i="2" s="1"/>
  <c r="CB75" i="2"/>
  <c r="CC75" i="2"/>
  <c r="CD75" i="2" s="1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BF66" i="2" l="1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E6" i="2" s="1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CM15" i="2" l="1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CB7" i="2" s="1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V2" i="2" l="1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B2" i="2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CD7" i="2" l="1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<sst xmlns="http://schemas.openxmlformats.org/spreadsheetml/2006/main" count="23157" uniqueCount="1867">
  <si>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</si>
  <si>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</si>
  <si>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</si>
  <si>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</si>
  <si>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</si>
  <si>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</si>
  <si>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</si>
  <si>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</si>
  <si>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</si>
  <si>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</si>
  <si>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</si>
  <si>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</si>
  <si>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</si>
  <si>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</si>
  <si>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</si>
  <si>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</si>
  <si>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</si>
  <si>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</si>
  <si>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</si>
  <si>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</si>
  <si>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</si>
  <si>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</si>
  <si>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</si>
  <si>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</si>
  <si>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</si>
  <si>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</si>
  <si>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</si>
  <si>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</si>
  <si>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</si>
  <si>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</si>
  <si>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</si>
  <si>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</si>
  <si>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</si>
  <si>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</si>
  <si>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</si>
  <si>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</si>
  <si>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</si>
  <si>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</si>
  <si>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</si>
  <si>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</si>
  <si>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</si>
  <si>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</si>
  <si>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</si>
  <si>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</si>
  <si>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</si>
  <si>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</si>
  <si>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</si>
  <si>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</si>
  <si>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</si>
  <si>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</si>
  <si>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</si>
  <si>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</si>
  <si>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</si>
  <si>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</si>
  <si>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</si>
  <si>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</si>
  <si>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</si>
  <si>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</si>
  <si>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</si>
  <si>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</si>
  <si>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</si>
  <si>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</si>
  <si>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</si>
  <si>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</si>
  <si>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</si>
  <si>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</si>
  <si>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</si>
  <si>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</si>
  <si>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</si>
  <si>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</si>
  <si>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</si>
  <si>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</si>
  <si>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</si>
  <si>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</si>
  <si>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</si>
  <si>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</si>
  <si>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</si>
  <si>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</si>
  <si>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</si>
  <si>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</si>
  <si>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</si>
  <si>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</si>
  <si>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</si>
  <si>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</si>
  <si>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</si>
  <si>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</si>
  <si>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</si>
  <si>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</si>
  <si>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</si>
  <si>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</si>
  <si>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</si>
  <si>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</si>
  <si>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</si>
  <si>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</si>
  <si>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</si>
  <si>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</si>
  <si>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</si>
  <si>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</si>
  <si>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</si>
  <si>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</si>
  <si>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</si>
  <si>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</si>
  <si>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</si>
  <si>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</si>
  <si>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</si>
  <si>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</si>
  <si>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</si>
  <si>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</si>
  <si>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</si>
  <si>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</si>
  <si>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</si>
  <si>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</si>
  <si>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</si>
  <si>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</si>
  <si>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</si>
  <si>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</si>
  <si>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</si>
  <si>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</si>
  <si>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</si>
  <si>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</si>
  <si>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</si>
  <si>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</si>
  <si>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</si>
  <si>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</si>
  <si>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</si>
  <si>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</si>
  <si>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</si>
  <si>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</si>
  <si>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</si>
  <si>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</si>
  <si>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</si>
  <si>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</si>
  <si>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</si>
  <si>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</si>
  <si>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</si>
  <si>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</si>
  <si>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</si>
  <si>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</si>
  <si>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</si>
  <si>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</si>
  <si>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</si>
  <si>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</si>
  <si>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</si>
  <si>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</si>
  <si>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</si>
  <si>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</si>
  <si>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</si>
  <si>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</si>
  <si>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</si>
  <si>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</si>
  <si>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</si>
  <si>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</si>
  <si>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</si>
  <si>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</si>
  <si>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</si>
  <si>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</si>
  <si>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</si>
  <si>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</si>
  <si>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</si>
  <si>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</si>
  <si>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</si>
  <si>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</si>
  <si>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</si>
  <si>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</si>
  <si>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</si>
  <si>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</si>
  <si>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</si>
  <si>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</si>
  <si>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</si>
  <si>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</si>
  <si>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</si>
  <si>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</si>
  <si>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</si>
  <si>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</si>
  <si>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</si>
  <si>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</si>
  <si>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</si>
  <si>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</si>
  <si>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</si>
  <si>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</si>
  <si>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</si>
  <si>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</si>
  <si>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</si>
  <si>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</si>
  <si>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</si>
  <si>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</si>
  <si>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</si>
  <si>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</si>
  <si>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</si>
  <si>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</si>
  <si>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</si>
  <si>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</si>
  <si>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</si>
  <si>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</si>
  <si>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</si>
  <si>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</si>
  <si>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</si>
  <si>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</si>
  <si>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</si>
  <si>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</si>
  <si>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</si>
  <si>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</si>
  <si>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</si>
  <si>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</si>
  <si>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</si>
  <si>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</si>
  <si>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</si>
  <si>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</si>
  <si>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</si>
  <si>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</si>
  <si>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</si>
  <si>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</si>
  <si>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</si>
  <si>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</si>
  <si>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</si>
  <si>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</si>
  <si>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</si>
  <si>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</si>
  <si>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</si>
  <si>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</si>
  <si>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</si>
  <si>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</si>
  <si>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</si>
  <si>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</si>
  <si>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</si>
  <si>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</si>
  <si>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</si>
  <si>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</si>
  <si>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</si>
  <si>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</si>
  <si>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</si>
  <si>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</si>
  <si>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</si>
  <si>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</si>
  <si>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</si>
  <si>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</si>
  <si>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</si>
  <si>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</si>
  <si>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</si>
  <si>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</si>
  <si>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</si>
  <si>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</si>
  <si>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</si>
  <si>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</si>
  <si>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</si>
  <si>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</si>
  <si>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</si>
  <si>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</si>
  <si>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</si>
  <si>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</si>
  <si>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</si>
  <si>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</si>
  <si>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</si>
  <si>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</si>
  <si>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</si>
  <si>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</si>
  <si>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</si>
  <si>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</si>
  <si>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</si>
  <si>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</si>
  <si>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</si>
  <si>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</si>
  <si>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</si>
  <si>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</si>
  <si>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</si>
  <si>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</si>
  <si>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</si>
  <si>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</si>
  <si>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</si>
  <si>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</si>
  <si>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</si>
  <si>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</si>
  <si>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</si>
  <si>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</si>
  <si>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</si>
  <si>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</si>
  <si>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</si>
  <si>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</si>
  <si>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</si>
  <si>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</si>
  <si>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</si>
  <si>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</si>
  <si>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</si>
  <si>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</si>
  <si>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</si>
  <si>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</si>
  <si>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</si>
  <si>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</si>
  <si>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</si>
  <si>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</si>
  <si>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</si>
  <si>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</si>
  <si>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</si>
  <si>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</si>
  <si>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</si>
  <si>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</si>
  <si>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</si>
  <si>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</si>
  <si>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</si>
  <si>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</si>
  <si>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</si>
  <si>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</si>
  <si>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</si>
  <si>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</si>
  <si>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</si>
  <si>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</si>
  <si>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</si>
  <si>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</si>
  <si>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</si>
  <si>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</si>
  <si>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</si>
  <si>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</si>
  <si>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</si>
  <si>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</si>
  <si>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</si>
  <si>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</si>
  <si>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</si>
  <si>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</si>
  <si>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</si>
  <si>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</si>
  <si>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</si>
  <si>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</si>
  <si>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</si>
  <si>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</si>
  <si>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</si>
  <si>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</si>
  <si>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</si>
  <si>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</si>
  <si>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</si>
  <si>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</si>
  <si>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</si>
  <si>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</si>
  <si>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</si>
  <si>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</si>
  <si>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</si>
  <si>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</si>
  <si>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</si>
  <si>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</si>
  <si>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</si>
  <si>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</si>
  <si>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</si>
  <si>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</si>
  <si>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</si>
  <si>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</si>
  <si>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</si>
  <si>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</si>
  <si>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</si>
  <si>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</si>
  <si>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</si>
  <si>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</si>
  <si>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</si>
  <si>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</si>
  <si>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</si>
  <si>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</si>
  <si>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</si>
  <si>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</si>
  <si>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</si>
  <si>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</si>
  <si>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</si>
  <si>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</si>
  <si>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</si>
  <si>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</si>
  <si>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</si>
  <si>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</si>
  <si>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</si>
  <si>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</si>
  <si>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</si>
  <si>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</si>
  <si>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</si>
  <si>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</si>
  <si>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</si>
  <si>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</si>
  <si>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</si>
  <si>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</si>
  <si>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</si>
  <si>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</si>
  <si>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</si>
  <si>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</si>
  <si>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</si>
  <si>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</si>
  <si>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</si>
  <si>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</si>
  <si>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</si>
  <si>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</si>
  <si>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</si>
  <si>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</si>
  <si>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</si>
  <si>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</si>
  <si>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</si>
  <si>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</si>
  <si>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</si>
  <si>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</si>
  <si>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</si>
  <si>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</si>
  <si>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</si>
  <si>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</si>
  <si>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</si>
  <si>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</si>
  <si>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</si>
  <si>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</si>
  <si>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</si>
  <si>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</si>
  <si>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</si>
  <si>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</si>
  <si>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</si>
  <si>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</si>
  <si>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</si>
  <si>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</si>
  <si>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</si>
  <si>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</si>
  <si>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</si>
  <si>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</si>
  <si>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</si>
  <si>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</si>
  <si>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</si>
  <si>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</si>
  <si>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</si>
  <si>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</si>
  <si>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</si>
  <si>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</si>
  <si>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</si>
  <si>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</si>
  <si>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</si>
  <si>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</si>
  <si>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</si>
  <si>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</si>
  <si>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</si>
  <si>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</si>
  <si>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</si>
  <si>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</si>
  <si>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</si>
  <si>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</si>
  <si>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</si>
  <si>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</si>
  <si>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</si>
  <si>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</si>
  <si>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</si>
  <si>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</si>
  <si>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</si>
  <si>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</si>
  <si>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</si>
  <si>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</si>
  <si>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</si>
  <si>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</si>
  <si>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</si>
  <si>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</si>
  <si>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</si>
  <si>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</si>
  <si>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</si>
  <si>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</si>
  <si>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</si>
  <si>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</si>
  <si>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</si>
  <si>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</si>
  <si>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</si>
  <si>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</si>
  <si>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</si>
  <si>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</si>
  <si>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</si>
  <si>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</si>
  <si>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</si>
  <si>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</si>
  <si>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</si>
  <si>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</si>
  <si>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</si>
  <si>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</si>
  <si>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</si>
  <si>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</si>
  <si>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</si>
  <si>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</si>
  <si>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</si>
  <si>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</si>
  <si>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</si>
  <si>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</si>
  <si>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</si>
  <si>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</si>
  <si>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</si>
  <si>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</si>
  <si>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</si>
  <si>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</si>
  <si>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</si>
  <si>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</si>
  <si>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</si>
  <si>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</si>
  <si>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</si>
  <si>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</si>
  <si>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</si>
  <si>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</si>
  <si>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</si>
  <si>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</si>
  <si>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</si>
  <si>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</si>
  <si>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</si>
  <si>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</si>
  <si>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</si>
  <si>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</si>
  <si>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</si>
  <si>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</si>
  <si>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</si>
  <si>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</si>
  <si>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</si>
  <si>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</si>
  <si>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</si>
  <si>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</si>
  <si>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</si>
  <si>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</si>
  <si>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</si>
  <si>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</si>
  <si>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</si>
  <si>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</si>
  <si>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</si>
  <si>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</si>
  <si>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</si>
  <si>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</si>
  <si>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</si>
  <si>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</si>
  <si>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</si>
  <si>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</si>
  <si>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</si>
  <si>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</si>
  <si>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</si>
  <si>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</si>
  <si>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</si>
  <si>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</si>
  <si>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</si>
  <si>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</si>
  <si>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</si>
  <si>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</si>
  <si>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</si>
  <si>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</si>
  <si>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</si>
  <si>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</si>
  <si>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</si>
  <si>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</si>
  <si>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</si>
  <si>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</si>
  <si>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</si>
  <si>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</si>
  <si>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</si>
  <si>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</si>
  <si>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</si>
  <si>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</si>
  <si>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</si>
  <si>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</si>
  <si>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</si>
  <si>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</si>
  <si>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</si>
  <si>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</si>
  <si>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</si>
  <si>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</si>
  <si>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</si>
  <si>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</si>
  <si>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</si>
  <si>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</si>
  <si>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</si>
  <si>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</si>
  <si>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</si>
  <si>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</si>
  <si>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</si>
  <si>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</si>
  <si>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</si>
  <si>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</si>
  <si>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</si>
  <si>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</si>
  <si>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</si>
  <si>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</si>
  <si>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</si>
  <si>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</si>
  <si>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</si>
  <si>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</si>
  <si>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</si>
  <si>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</si>
  <si>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</si>
  <si>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</si>
  <si>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</si>
  <si>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</si>
  <si>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</si>
  <si>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</si>
  <si>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</si>
  <si>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</si>
  <si>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</si>
  <si>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</si>
  <si>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</si>
  <si>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</si>
  <si>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</si>
  <si>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</si>
  <si>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</si>
  <si>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</si>
  <si>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</si>
  <si>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</si>
  <si>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</si>
  <si>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</si>
  <si>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</si>
  <si>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</si>
  <si>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</si>
  <si>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</si>
  <si>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</si>
  <si>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</si>
  <si>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</si>
  <si>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</si>
  <si>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</si>
  <si>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</si>
  <si>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</si>
  <si>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</si>
  <si>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</si>
  <si>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</si>
  <si>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</si>
  <si>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</si>
  <si>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</si>
  <si>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</si>
  <si>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</si>
  <si>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</si>
  <si>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</si>
  <si>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</si>
  <si>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</si>
  <si>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</si>
  <si>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</si>
  <si>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</si>
  <si>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</si>
  <si>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</si>
  <si>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</si>
  <si>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</si>
  <si>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</si>
  <si>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</si>
  <si>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</si>
  <si>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</si>
  <si>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</si>
  <si>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</si>
  <si>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</si>
  <si>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</si>
  <si>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</si>
  <si>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</si>
  <si>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</si>
  <si>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</si>
  <si>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</si>
  <si>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</si>
  <si>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</si>
  <si>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</si>
  <si>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</si>
  <si>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</si>
  <si>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</si>
  <si>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</si>
  <si>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</si>
  <si>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</si>
  <si>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</si>
  <si>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</si>
  <si>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</si>
  <si>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</si>
  <si>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</si>
  <si>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</si>
  <si>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</si>
  <si>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</si>
  <si>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</si>
  <si>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</si>
  <si>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</si>
  <si>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</si>
  <si>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</si>
  <si>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</si>
  <si>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</si>
  <si>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</si>
  <si>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</si>
  <si>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</si>
  <si>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</si>
  <si>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</si>
  <si>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</si>
  <si>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</si>
  <si>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</si>
  <si>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</si>
  <si>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</si>
  <si>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</si>
  <si>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</si>
  <si>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</si>
  <si>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</si>
  <si>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</si>
  <si>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</si>
  <si>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</si>
  <si>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</si>
  <si>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</si>
  <si>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</si>
  <si>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</si>
  <si>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</si>
  <si>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</si>
  <si>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</si>
  <si>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</si>
  <si>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</si>
  <si>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</si>
  <si>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</si>
  <si>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</si>
  <si>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</si>
  <si>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</si>
  <si>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</si>
  <si>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</si>
  <si>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</si>
  <si>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</si>
  <si>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</si>
  <si>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</si>
  <si>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</si>
  <si>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</si>
  <si>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</si>
  <si>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</si>
  <si>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</si>
  <si>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</si>
  <si>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</si>
  <si>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</si>
  <si>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</si>
  <si>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</si>
  <si>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</si>
  <si>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</si>
  <si>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</si>
  <si>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</si>
  <si>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</si>
  <si>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</si>
  <si>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</si>
  <si>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</si>
  <si>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</si>
  <si>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</si>
  <si>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</si>
  <si>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</si>
  <si>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</si>
  <si>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</si>
  <si>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</si>
  <si>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</si>
  <si>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</si>
  <si>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</si>
  <si>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</si>
  <si>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</si>
  <si>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</si>
  <si>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</si>
  <si>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</si>
  <si>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</si>
  <si>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</si>
  <si>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</si>
  <si>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</si>
  <si>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</si>
  <si>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</si>
  <si>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</si>
  <si>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</si>
  <si>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</si>
  <si>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</si>
  <si>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</si>
  <si>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</si>
  <si>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</si>
  <si>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</si>
  <si>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</si>
  <si>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</si>
  <si>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</si>
  <si>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</si>
  <si>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</si>
  <si>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</si>
  <si>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</si>
  <si>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</si>
  <si>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</si>
  <si>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</si>
  <si>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</si>
  <si>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</si>
  <si>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</si>
  <si>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</si>
  <si>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</si>
  <si>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</si>
  <si>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</si>
  <si>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</si>
  <si>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</si>
  <si>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</si>
  <si>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</si>
  <si>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</si>
  <si>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</si>
  <si>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</si>
  <si>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</si>
  <si>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</si>
  <si>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</si>
  <si>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</si>
  <si>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</si>
  <si>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</si>
  <si>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</si>
  <si>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</si>
  <si>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</si>
  <si>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</si>
  <si>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</si>
  <si>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</si>
  <si>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</si>
  <si>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</si>
  <si>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</si>
  <si>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</si>
  <si>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</si>
  <si>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</si>
  <si>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</si>
  <si>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</si>
  <si>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</si>
  <si>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</si>
  <si>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</si>
  <si>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</si>
  <si>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</si>
  <si>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</si>
  <si>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</si>
  <si>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</si>
  <si>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</si>
  <si>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</si>
  <si>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</si>
  <si>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</si>
  <si>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</si>
  <si>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</si>
  <si>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</si>
  <si>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</si>
  <si>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</si>
  <si>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</si>
  <si>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</si>
  <si>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</si>
  <si>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</si>
  <si>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</si>
  <si>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</si>
  <si>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</si>
  <si>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</si>
  <si>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</si>
  <si>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</si>
  <si>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</si>
  <si>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</si>
  <si>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</si>
  <si>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</si>
  <si>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</si>
  <si>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</si>
  <si>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</si>
  <si>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</si>
  <si>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</si>
  <si>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</si>
  <si>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</si>
  <si>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</si>
  <si>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</si>
  <si>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</si>
  <si>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</si>
  <si>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</si>
  <si>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</si>
  <si>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</si>
  <si>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</si>
  <si>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</si>
  <si>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</si>
  <si>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</si>
  <si>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</si>
  <si>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</si>
  <si>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</si>
  <si>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</si>
  <si>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</si>
  <si>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</si>
  <si>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</si>
  <si>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</si>
  <si>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</si>
  <si>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</si>
  <si>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</si>
  <si>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</si>
  <si>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</si>
  <si>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</si>
  <si>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</si>
  <si>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</si>
  <si>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</si>
  <si>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</si>
  <si>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</si>
  <si>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</si>
  <si>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</si>
  <si>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</si>
  <si>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</si>
  <si>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</si>
  <si>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</si>
  <si>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</si>
  <si>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</si>
  <si>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</si>
  <si>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</si>
  <si>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</si>
  <si>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</si>
  <si>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</si>
  <si>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</si>
  <si>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</si>
  <si>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</si>
  <si>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</si>
  <si>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</si>
  <si>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</si>
  <si>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</si>
  <si>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</si>
  <si>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</si>
  <si>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</si>
  <si>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</si>
  <si>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</si>
  <si>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</si>
  <si>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</si>
  <si>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</si>
  <si>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</si>
  <si>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</si>
  <si>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</si>
  <si>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</si>
  <si>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</si>
  <si>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</si>
  <si>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</si>
  <si>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</si>
  <si>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</si>
  <si>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</si>
  <si>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</si>
  <si>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</si>
  <si>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</si>
  <si>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</si>
  <si>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</si>
  <si>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</si>
  <si>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</si>
  <si>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</si>
  <si>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</si>
  <si>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</si>
  <si>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</si>
  <si>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</si>
  <si>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</si>
  <si>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</si>
  <si>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</si>
  <si>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</si>
  <si>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</si>
  <si>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</si>
  <si>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</si>
  <si>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</si>
  <si>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</si>
  <si>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</si>
  <si>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</si>
  <si>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</si>
  <si>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</si>
  <si>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</si>
  <si>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</si>
  <si>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</si>
  <si>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</si>
  <si>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</si>
  <si>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</si>
  <si>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</si>
  <si>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</si>
  <si>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</si>
  <si>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</si>
  <si>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</si>
  <si>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</si>
  <si>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</si>
  <si>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</si>
  <si>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</si>
  <si>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</si>
  <si>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</si>
  <si>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</si>
  <si>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</si>
  <si>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</si>
  <si>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</si>
  <si>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</si>
  <si>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</si>
  <si>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</si>
  <si>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</si>
  <si>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</si>
  <si>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</si>
  <si>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</si>
  <si>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</si>
  <si>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</si>
  <si>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</si>
  <si>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</si>
  <si>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</si>
  <si>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</si>
  <si>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</si>
  <si>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</si>
  <si>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</si>
  <si>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</si>
  <si>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</si>
  <si>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</si>
  <si>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</si>
  <si>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</si>
  <si>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</si>
  <si>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</si>
  <si>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</si>
  <si>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</si>
  <si>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</si>
  <si>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</si>
  <si>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</si>
  <si>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</si>
  <si>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</si>
  <si>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</si>
  <si>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</si>
  <si>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</si>
  <si>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</si>
  <si>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</si>
  <si>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</si>
  <si>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</si>
  <si>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</si>
  <si>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</si>
  <si>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</si>
  <si>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</si>
  <si>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</si>
  <si>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</si>
  <si>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</si>
  <si>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</si>
  <si>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</si>
  <si>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</si>
  <si>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</si>
  <si>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</si>
  <si>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</si>
  <si>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</si>
  <si>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</si>
  <si>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</si>
  <si>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</si>
  <si>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</si>
  <si>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</si>
  <si>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</si>
  <si>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</si>
  <si>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</si>
  <si>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</si>
  <si>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</si>
  <si>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</si>
  <si>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</si>
  <si>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</si>
  <si>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</si>
  <si>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</si>
  <si>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</si>
  <si>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</si>
  <si>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</si>
  <si>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</si>
  <si>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</si>
  <si>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</si>
  <si>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</si>
  <si>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</si>
  <si>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</si>
  <si>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</si>
  <si>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</si>
  <si>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</si>
  <si>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</si>
  <si>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</si>
  <si>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</si>
  <si>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</si>
  <si>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</si>
  <si>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</si>
  <si>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</si>
  <si>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</si>
  <si>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</si>
  <si>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</si>
  <si>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</si>
  <si>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</si>
  <si>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</si>
  <si>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</si>
  <si>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</si>
  <si>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</si>
  <si>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</si>
  <si>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</si>
  <si>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</si>
  <si>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</si>
  <si>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</si>
  <si>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</si>
  <si>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</si>
  <si>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</si>
  <si>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</si>
  <si>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</si>
  <si>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</si>
  <si>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</si>
  <si>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</si>
  <si>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</si>
  <si>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</si>
  <si>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</si>
  <si>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</si>
  <si>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</si>
  <si>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</si>
  <si>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</si>
  <si>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</si>
  <si>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</si>
  <si>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</si>
  <si>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</si>
  <si>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</si>
  <si>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</si>
  <si>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</si>
  <si>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</si>
  <si>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</si>
  <si>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</si>
  <si>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</si>
  <si>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</si>
  <si>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</si>
  <si>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</si>
  <si>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</si>
  <si>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</si>
  <si>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</si>
  <si>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</si>
  <si>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</si>
  <si>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</si>
  <si>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</si>
  <si>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</si>
  <si>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</si>
  <si>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</si>
  <si>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</si>
  <si>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</si>
  <si>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</si>
  <si>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</si>
  <si>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</si>
  <si>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</si>
  <si>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</si>
  <si>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</si>
  <si>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</si>
  <si>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</si>
  <si>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</si>
  <si>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</si>
  <si>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</si>
  <si>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</si>
  <si>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</si>
  <si>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</si>
  <si>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</si>
  <si>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</si>
  <si>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</si>
  <si>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</si>
  <si>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</si>
  <si>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</si>
  <si>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</si>
  <si>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</si>
  <si>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</si>
  <si>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</si>
  <si>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</si>
  <si>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</si>
  <si>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</si>
  <si>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</si>
  <si>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</si>
  <si>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</si>
  <si>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</si>
  <si>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</si>
  <si>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</si>
  <si>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</si>
  <si>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</si>
  <si>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</si>
  <si>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</si>
  <si>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</si>
  <si>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</si>
  <si>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</si>
  <si>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</si>
  <si>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</si>
  <si>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</si>
  <si>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</si>
  <si>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</si>
  <si>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</si>
  <si>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</si>
  <si>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</si>
  <si>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</si>
  <si>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</si>
  <si>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</si>
  <si>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</si>
  <si>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</si>
  <si>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</si>
  <si>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</si>
  <si>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</si>
  <si>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</si>
  <si>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</si>
  <si>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</si>
  <si>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</si>
  <si>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</si>
  <si>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</si>
  <si>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</si>
  <si>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</si>
  <si>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</si>
  <si>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</si>
  <si>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</si>
  <si>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</si>
  <si>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</si>
  <si>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</si>
  <si>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</si>
  <si>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</si>
  <si>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</si>
  <si>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</si>
  <si>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</si>
  <si>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</si>
  <si>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</si>
  <si>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</si>
  <si>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</si>
  <si>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</si>
  <si>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</si>
  <si>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</si>
  <si>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</si>
  <si>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</si>
  <si>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</si>
  <si>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</si>
  <si>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</si>
  <si>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</si>
  <si>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</si>
  <si>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</si>
  <si>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</si>
  <si>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</si>
  <si>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</si>
  <si>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</si>
  <si>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</si>
  <si>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</si>
  <si>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</si>
  <si>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</si>
  <si>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</si>
  <si>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</si>
  <si>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</si>
  <si>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</si>
  <si>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</si>
  <si>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</si>
  <si>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</si>
  <si>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</si>
  <si>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</si>
  <si>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</si>
  <si>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</si>
  <si>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</si>
  <si>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</si>
  <si>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</si>
  <si>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</si>
  <si>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</si>
  <si>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</si>
  <si>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</si>
  <si>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</si>
  <si>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</si>
  <si>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</si>
  <si>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</si>
  <si>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</si>
  <si>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</si>
  <si>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</si>
  <si>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</si>
  <si>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</si>
  <si>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</si>
  <si>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</si>
  <si>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</si>
  <si>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</si>
  <si>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</si>
  <si>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</si>
  <si>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</si>
  <si>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</si>
  <si>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</si>
  <si>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</si>
  <si>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</si>
  <si>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</si>
  <si>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</si>
  <si>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</si>
  <si>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</si>
  <si>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</si>
  <si>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</si>
  <si>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</si>
  <si>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</si>
  <si>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</si>
  <si>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</si>
  <si>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</si>
  <si>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</si>
  <si>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</si>
  <si>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</si>
  <si>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</si>
  <si>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</si>
  <si>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</si>
  <si>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</si>
  <si>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</si>
  <si>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</si>
  <si>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</si>
  <si>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</si>
  <si>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</si>
  <si>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</si>
  <si>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</si>
  <si>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</si>
  <si>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</si>
  <si>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</si>
  <si>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</si>
  <si>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</si>
  <si>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</si>
  <si>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</si>
  <si>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</si>
  <si>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</si>
  <si>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</si>
  <si>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</si>
  <si>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</si>
  <si>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</si>
  <si>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</si>
  <si>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</si>
  <si>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</si>
  <si>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</si>
  <si>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</si>
  <si>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</si>
  <si>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</si>
  <si>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</si>
  <si>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</si>
  <si>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</si>
  <si>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</si>
  <si>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</si>
  <si>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</si>
  <si>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</si>
  <si>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</si>
  <si>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</si>
  <si>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</si>
  <si>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</si>
  <si>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</si>
  <si>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</si>
  <si>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</si>
  <si>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</si>
  <si>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</si>
  <si>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</si>
  <si>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</si>
  <si>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</si>
  <si>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</si>
  <si>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</si>
  <si>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</si>
  <si>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</si>
  <si>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</si>
  <si>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</si>
  <si>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</si>
  <si>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</si>
  <si>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</si>
  <si>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</si>
  <si>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</si>
  <si>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</si>
  <si>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</si>
  <si>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</si>
  <si>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</si>
  <si>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</si>
  <si>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</si>
  <si>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</si>
  <si>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</si>
  <si>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</si>
  <si>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</si>
  <si>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</si>
  <si>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</si>
  <si>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</si>
  <si>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</si>
  <si>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</si>
  <si>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</si>
  <si>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</si>
  <si>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</si>
  <si>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</si>
  <si>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</si>
  <si>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</si>
  <si>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</si>
  <si>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</si>
  <si>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</si>
  <si>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</si>
  <si>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</si>
  <si>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</si>
  <si>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</si>
  <si>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</si>
  <si>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</si>
  <si>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</si>
  <si>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</si>
  <si>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</si>
  <si>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</si>
  <si>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</si>
  <si>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</si>
  <si>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</si>
  <si>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</si>
  <si>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</si>
  <si>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</si>
  <si>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</si>
  <si>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</si>
  <si>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</si>
  <si>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</si>
  <si>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</si>
  <si>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</si>
  <si>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</si>
  <si>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</si>
  <si>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</si>
  <si>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</si>
  <si>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</si>
  <si>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</si>
  <si>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</si>
  <si>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</si>
  <si>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</si>
  <si>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</si>
  <si>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</si>
  <si>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</si>
  <si>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</si>
  <si>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</si>
  <si>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</si>
  <si>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</si>
  <si>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</si>
  <si>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</si>
  <si>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</si>
  <si>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</si>
  <si>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</si>
  <si>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</si>
  <si>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</si>
  <si>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</si>
  <si>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</si>
  <si>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</si>
  <si>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</si>
  <si>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</si>
  <si>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</si>
  <si>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</si>
  <si>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</si>
  <si>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</si>
  <si>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</si>
  <si>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</si>
  <si>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</si>
  <si>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</si>
  <si>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</si>
  <si>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</si>
  <si>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</si>
  <si>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</si>
  <si>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</si>
  <si>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</si>
  <si>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</si>
  <si>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</si>
  <si>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</si>
  <si>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</si>
  <si>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</si>
  <si>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</si>
  <si>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</si>
  <si>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</si>
  <si>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</si>
  <si>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</si>
  <si>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</si>
  <si>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</si>
  <si>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</si>
  <si>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</si>
  <si>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</si>
  <si>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</si>
  <si>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</si>
  <si>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</si>
  <si>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</si>
  <si>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</si>
  <si>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</si>
  <si>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</si>
  <si>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</si>
  <si>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</si>
  <si>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</si>
  <si>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</si>
  <si>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</si>
  <si>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</si>
  <si>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</si>
  <si>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</si>
  <si>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</si>
  <si>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</si>
  <si>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</si>
  <si>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</si>
  <si>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</si>
  <si>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</si>
  <si>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</si>
  <si>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</si>
  <si>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</si>
  <si>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</si>
  <si>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</si>
  <si>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</si>
  <si>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</si>
  <si>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</si>
  <si>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</si>
  <si>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</si>
  <si>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</si>
  <si>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</si>
  <si>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</si>
  <si>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</si>
  <si>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</si>
  <si>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</si>
  <si>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</si>
  <si>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</si>
  <si>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</si>
  <si>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</si>
  <si>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</si>
  <si>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</si>
  <si>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</si>
  <si>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</si>
  <si>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</si>
  <si>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</si>
  <si>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</si>
  <si>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</si>
  <si>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</si>
  <si>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</si>
  <si>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</si>
  <si>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</si>
  <si>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</si>
  <si>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</si>
  <si>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</si>
  <si>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</si>
  <si>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</si>
  <si>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</si>
  <si>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</si>
  <si>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</si>
  <si>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</si>
  <si>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</si>
  <si>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</si>
  <si>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</si>
  <si>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</si>
  <si>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</si>
  <si>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</si>
  <si>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</si>
  <si>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</si>
  <si>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</si>
  <si>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</si>
  <si>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</si>
  <si>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</si>
  <si>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</si>
  <si>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</si>
  <si>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</si>
  <si>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</si>
  <si>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</si>
  <si>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</si>
  <si>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</si>
  <si>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</si>
  <si>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</si>
  <si>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</si>
  <si>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</si>
  <si>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</si>
  <si>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</si>
  <si>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</si>
  <si>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</si>
  <si>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</si>
  <si>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</si>
  <si>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</si>
  <si>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</si>
  <si>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</si>
  <si>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</si>
  <si>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</si>
  <si>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</si>
  <si>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</si>
  <si>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</si>
  <si>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</si>
  <si>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</si>
  <si>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</si>
  <si>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</si>
  <si>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</si>
  <si>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</si>
  <si>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</si>
  <si>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</si>
  <si>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</si>
  <si>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</si>
  <si>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</si>
  <si>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</si>
  <si>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</si>
  <si>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</si>
  <si>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</si>
  <si>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</si>
  <si>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</si>
  <si>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</si>
  <si>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</si>
  <si>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</si>
  <si>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</si>
  <si>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</si>
  <si>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</si>
  <si>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</si>
  <si>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</si>
  <si>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</si>
  <si>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</si>
  <si>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</si>
  <si>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</si>
  <si>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</si>
  <si>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</si>
  <si>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</si>
  <si>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</si>
  <si>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</si>
  <si>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</si>
  <si>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</si>
  <si>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</si>
  <si>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</si>
  <si>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</si>
  <si>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</si>
  <si>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</si>
  <si>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</si>
  <si>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</si>
  <si>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</si>
  <si>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</si>
  <si>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</si>
  <si>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</si>
  <si>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</si>
  <si>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</si>
  <si>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</si>
  <si>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</si>
  <si>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</si>
  <si>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</si>
  <si>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</si>
  <si>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</si>
  <si>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</si>
  <si>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</si>
  <si>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</si>
  <si>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</si>
  <si>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</si>
  <si>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</si>
  <si>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</si>
  <si>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</si>
  <si>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</si>
  <si>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</si>
  <si>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</si>
  <si>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</si>
  <si>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</si>
  <si>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</si>
  <si>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</si>
  <si>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</si>
  <si>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</si>
  <si>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</si>
  <si>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</si>
  <si>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</si>
  <si>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</si>
  <si>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</si>
  <si>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</si>
  <si>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</si>
  <si>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</si>
  <si>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</si>
  <si>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</si>
  <si>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</si>
  <si>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</si>
  <si>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</si>
  <si>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</si>
  <si>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</si>
  <si>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</si>
  <si>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</si>
  <si>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</si>
  <si>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</si>
  <si>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</si>
  <si>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</si>
  <si>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</si>
  <si>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</si>
  <si>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</si>
  <si>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</si>
  <si>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</si>
  <si>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</si>
  <si>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</si>
  <si>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</si>
  <si>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</si>
  <si>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</si>
  <si>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</si>
  <si>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</si>
  <si>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</si>
  <si>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</si>
  <si>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</si>
  <si>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</si>
  <si>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</si>
  <si>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</si>
  <si>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</si>
  <si>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</si>
  <si>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</si>
  <si>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</si>
  <si>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</si>
  <si>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</si>
  <si>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</si>
  <si>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</si>
  <si>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</si>
  <si>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</si>
  <si>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</si>
  <si>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</si>
  <si>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</si>
  <si>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</si>
  <si>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</si>
  <si>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</si>
  <si>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</si>
  <si>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</si>
  <si>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</si>
  <si>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</si>
  <si>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</si>
  <si>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</si>
  <si>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</si>
  <si>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</si>
  <si>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</si>
  <si>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</si>
  <si>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</si>
  <si>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</si>
  <si>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</si>
  <si>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</si>
  <si>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</si>
  <si>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</si>
  <si>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</si>
  <si>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</si>
  <si>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</si>
  <si>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</si>
  <si>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</si>
  <si>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</si>
  <si>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</si>
  <si>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</si>
  <si>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</si>
  <si>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</si>
  <si>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</si>
  <si>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</si>
  <si>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</si>
  <si>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</si>
  <si>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</si>
  <si>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</si>
  <si>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</si>
  <si>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</si>
  <si>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</si>
  <si>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</si>
  <si>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</si>
  <si>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</si>
  <si>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</si>
  <si>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</si>
  <si>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</si>
  <si>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</si>
  <si>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</si>
  <si>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</si>
  <si>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</si>
  <si>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</si>
  <si>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</si>
  <si>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</si>
  <si>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</si>
  <si>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</si>
  <si>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</si>
  <si>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</si>
  <si>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</si>
  <si>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</si>
  <si>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</si>
  <si>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</si>
  <si>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</si>
  <si>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</si>
  <si>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</si>
  <si>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</si>
  <si>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</si>
  <si>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</si>
  <si>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</si>
  <si>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</si>
  <si>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</si>
  <si>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</si>
  <si>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</si>
  <si>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</si>
  <si>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</si>
  <si>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</si>
  <si>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</si>
  <si>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</si>
  <si>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</si>
  <si>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</si>
  <si>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</si>
  <si>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</si>
  <si>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</si>
  <si>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</si>
  <si>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</si>
  <si>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</si>
  <si>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</si>
  <si>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</si>
  <si>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</si>
  <si>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</si>
  <si>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</si>
  <si>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</si>
  <si>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</si>
  <si>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</si>
  <si>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</si>
  <si>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</si>
  <si>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</si>
  <si>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</si>
  <si>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</si>
  <si>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</si>
  <si>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</si>
  <si>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</si>
  <si>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</si>
  <si>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</si>
  <si>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</si>
  <si>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</si>
  <si>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</si>
  <si>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</si>
  <si>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</si>
  <si>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</si>
  <si>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</si>
  <si>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</si>
  <si>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</si>
  <si>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</si>
  <si>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</si>
  <si>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</si>
  <si>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</si>
  <si>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</si>
  <si>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</si>
  <si>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</si>
  <si>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</si>
  <si>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</si>
  <si>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</si>
  <si>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</si>
  <si>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</si>
  <si>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</si>
  <si>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</si>
  <si>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</si>
  <si>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</si>
  <si>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</si>
  <si>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</si>
  <si>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</si>
  <si>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</si>
  <si>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</si>
  <si>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</si>
  <si>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</si>
  <si>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</si>
  <si>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</si>
  <si>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</si>
  <si>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</si>
  <si>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</si>
  <si>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</si>
  <si>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</si>
  <si>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</si>
  <si>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</si>
  <si>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</si>
  <si>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</si>
  <si>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</si>
  <si>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</si>
  <si>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</si>
  <si>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</si>
  <si>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</si>
  <si>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</si>
  <si>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</si>
  <si>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</si>
  <si>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</si>
  <si>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</si>
  <si>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</si>
  <si>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</si>
  <si>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</si>
  <si>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</si>
  <si>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</si>
  <si>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</si>
  <si>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</si>
  <si>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</si>
  <si>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</si>
  <si>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</si>
  <si>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</si>
  <si>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</si>
  <si>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</si>
  <si>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</si>
  <si>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</si>
  <si>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</si>
  <si>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</si>
  <si>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</si>
  <si>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</si>
  <si>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</si>
  <si>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</si>
  <si>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</si>
  <si>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</si>
  <si>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</si>
  <si>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</si>
  <si>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</si>
  <si>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</si>
  <si>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</si>
  <si>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</si>
  <si>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</si>
  <si>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</si>
  <si>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</si>
  <si>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</si>
  <si>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</si>
  <si>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</si>
  <si>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</si>
  <si>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</si>
  <si>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</si>
  <si>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</si>
  <si>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</si>
  <si>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</si>
  <si>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</si>
  <si>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</si>
  <si>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</si>
  <si>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</si>
  <si>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</si>
  <si>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</si>
  <si>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</si>
  <si>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</si>
  <si>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</si>
  <si>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</si>
  <si>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</si>
  <si>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</si>
  <si>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</si>
  <si>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</si>
  <si>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</si>
  <si>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</si>
  <si>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</si>
  <si>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</si>
  <si>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</si>
  <si>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</si>
  <si>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</si>
  <si>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</si>
  <si>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</si>
  <si>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</si>
  <si>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</si>
  <si>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</si>
  <si>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</si>
  <si>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</si>
  <si>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</si>
  <si>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</si>
  <si>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</si>
  <si>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</si>
  <si>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</si>
  <si>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</si>
  <si>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</si>
  <si>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</si>
  <si>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</si>
  <si>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</si>
  <si>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</si>
  <si>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</si>
  <si>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</si>
  <si>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</si>
  <si>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</si>
  <si>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</si>
  <si>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</si>
  <si>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</si>
  <si>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</si>
  <si>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</si>
  <si>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</si>
  <si>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ATUALIZADO: 01/06/2026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</si>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</sst>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69846</xdr:colOff>
      <xdr:row>6</xdr:row>
      <xdr:rowOff>144418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693739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127792</xdr:colOff>
      <xdr:row>6</xdr:row>
      <xdr:rowOff>166686</xdr:rowOff>
    </xdr:from>
    <xdr:to>
      <xdr:col>3</xdr:col>
      <xdr:colOff>619123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9230" y="1476374"/>
          <a:ext cx="1911349" cy="745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E11" sqref="E11"/>
    </sheetView>
  </sheetViews>
  <sheetFormatPr defaultColWidth="9.26953125" defaultRowHeight="13" outlineLevelCol="1" x14ac:dyDescent="0.3"/>
  <cols>
    <col min="1" max="1" width="1" style="1" customWidth="1"/>
    <col min="2" max="2" width="15.7265625" style="1" bestFit="1" customWidth="1"/>
    <col min="3" max="3" width="5.54296875" style="1" bestFit="1" customWidth="1"/>
    <col min="4" max="4" width="10.54296875" style="1" customWidth="1"/>
    <col min="5" max="5" width="31.7265625" style="1" bestFit="1" customWidth="1"/>
    <col min="6" max="6" width="6.54296875" style="1" customWidth="1"/>
    <col min="7" max="7" width="8.7265625" style="1" hidden="1" customWidth="1"/>
    <col min="8" max="8" width="9.7265625" style="1" hidden="1" customWidth="1" outlineLevel="1"/>
    <col min="9" max="9" width="8" style="1" hidden="1" customWidth="1" outlineLevel="1"/>
    <col min="10" max="10" width="7.1796875" style="1" hidden="1" customWidth="1" outlineLevel="1"/>
    <col min="11" max="11" width="9" style="1" hidden="1" customWidth="1" outlineLevel="1"/>
    <col min="12" max="12" width="7.54296875" style="1" hidden="1" customWidth="1" outlineLevel="1"/>
    <col min="13" max="13" width="9" style="1" hidden="1" customWidth="1" outlineLevel="1"/>
    <col min="14" max="14" width="6.81640625" style="1" hidden="1" customWidth="1" outlineLevel="1"/>
    <col min="15" max="15" width="7.26953125" style="1" hidden="1" customWidth="1" outlineLevel="1"/>
    <col min="16" max="16" width="7.7265625" style="1" hidden="1" customWidth="1" outlineLevel="1"/>
    <col min="17" max="17" width="7.54296875" style="1" hidden="1" customWidth="1" outlineLevel="1"/>
    <col min="18" max="18" width="9.26953125" style="1" hidden="1" customWidth="1" outlineLevel="1"/>
    <col min="19" max="19" width="8" style="1" hidden="1" customWidth="1" outlineLevel="1"/>
    <col min="20" max="20" width="6.81640625" style="1" hidden="1" customWidth="1" outlineLevel="1"/>
    <col min="21" max="21" width="8.26953125" style="1" hidden="1" customWidth="1" outlineLevel="1"/>
    <col min="22" max="22" width="7.54296875" style="1" hidden="1" customWidth="1" outlineLevel="1"/>
    <col min="23" max="23" width="9.726562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6953125" style="1" hidden="1" customWidth="1" outlineLevel="1"/>
    <col min="27" max="27" width="8" style="1" hidden="1" customWidth="1" outlineLevel="1" collapsed="1"/>
    <col min="28" max="28" width="9.7265625" style="1" hidden="1" customWidth="1" outlineLevel="1"/>
    <col min="29" max="29" width="8" style="1" hidden="1" customWidth="1" outlineLevel="1"/>
    <col min="30" max="30" width="7.1796875" style="1" hidden="1" customWidth="1" outlineLevel="1"/>
    <col min="31" max="31" width="9" style="1" hidden="1" customWidth="1" outlineLevel="1"/>
    <col min="32" max="32" width="7.54296875" style="1" hidden="1" customWidth="1" outlineLevel="1"/>
    <col min="33" max="33" width="9" style="1" hidden="1" customWidth="1" outlineLevel="1"/>
    <col min="34" max="34" width="6.26953125" style="1" hidden="1" customWidth="1" outlineLevel="1"/>
    <col min="35" max="35" width="7.26953125" style="1" hidden="1" customWidth="1" outlineLevel="1"/>
    <col min="36" max="36" width="7.7265625" style="1" hidden="1" customWidth="1" outlineLevel="1"/>
    <col min="37" max="37" width="7.54296875" style="1" hidden="1" customWidth="1" outlineLevel="1"/>
    <col min="38" max="38" width="9.26953125" style="1" hidden="1" customWidth="1" outlineLevel="1"/>
    <col min="39" max="39" width="8" style="1" hidden="1" customWidth="1" outlineLevel="1"/>
    <col min="40" max="40" width="6.81640625" style="1" hidden="1" customWidth="1" outlineLevel="1"/>
    <col min="41" max="41" width="8.26953125" style="1" hidden="1" customWidth="1" outlineLevel="1"/>
    <col min="42" max="42" width="7.54296875" style="1" hidden="1" customWidth="1" outlineLevel="1"/>
    <col min="43" max="43" width="9.7265625" style="1" hidden="1" customWidth="1" outlineLevel="1"/>
    <col min="44" max="44" width="7" style="1" hidden="1" customWidth="1" outlineLevel="1"/>
    <col min="45" max="45" width="3.26953125" style="1" hidden="1" customWidth="1" outlineLevel="1"/>
    <col min="46" max="46" width="7.1796875" style="1" hidden="1" customWidth="1" outlineLevel="1"/>
    <col min="47" max="47" width="8" style="1" hidden="1" customWidth="1" outlineLevel="1" collapsed="1"/>
    <col min="48" max="48" width="10.1796875" style="1" hidden="1" customWidth="1" outlineLevel="1"/>
    <col min="49" max="50" width="8.54296875" style="1" hidden="1" customWidth="1" outlineLevel="1"/>
    <col min="51" max="51" width="9" style="1" hidden="1" customWidth="1" outlineLevel="1"/>
    <col min="52" max="52" width="7.54296875" style="1" hidden="1" customWidth="1" outlineLevel="1"/>
    <col min="53" max="53" width="9.26953125" style="1" hidden="1" customWidth="1" outlineLevel="1"/>
    <col min="54" max="55" width="7.7265625" style="1" hidden="1" customWidth="1" outlineLevel="1"/>
    <col min="56" max="56" width="8.26953125" style="1" hidden="1" customWidth="1" outlineLevel="1"/>
    <col min="57" max="57" width="7.54296875" style="1" hidden="1" customWidth="1" outlineLevel="1"/>
    <col min="58" max="58" width="9.7265625" style="1" hidden="1" customWidth="1" outlineLevel="1"/>
    <col min="59" max="60" width="7.7265625" style="1" hidden="1" customWidth="1" outlineLevel="1"/>
    <col min="61" max="61" width="8.26953125" style="1" hidden="1" customWidth="1" outlineLevel="1"/>
    <col min="62" max="62" width="7.54296875" style="1" hidden="1" customWidth="1" outlineLevel="1"/>
    <col min="63" max="63" width="9.7265625" style="1" hidden="1" customWidth="1" outlineLevel="1"/>
    <col min="64" max="65" width="7.7265625" style="1" hidden="1" customWidth="1" outlineLevel="1"/>
    <col min="66" max="66" width="8.26953125" style="1" hidden="1" customWidth="1" outlineLevel="1"/>
    <col min="67" max="67" width="8" style="1" customWidth="1" collapsed="1"/>
    <col min="68" max="68" width="9.7265625" style="1" customWidth="1"/>
    <col min="69" max="70" width="7" style="1" customWidth="1"/>
    <col min="71" max="71" width="9" style="1" customWidth="1"/>
    <col min="72" max="72" width="7.54296875" style="1" customWidth="1"/>
    <col min="73" max="73" width="9.26953125" style="1" customWidth="1"/>
    <col min="74" max="75" width="7.1796875" style="1" customWidth="1"/>
    <col min="76" max="76" width="8.26953125" style="1" customWidth="1"/>
    <col min="77" max="77" width="7.54296875" style="1" customWidth="1" collapsed="1"/>
    <col min="78" max="78" width="9.7265625" style="1" customWidth="1"/>
    <col min="79" max="80" width="7.1796875" style="1" customWidth="1"/>
    <col min="81" max="81" width="8.26953125" style="1" customWidth="1"/>
    <col min="82" max="82" width="7.54296875" style="1" customWidth="1"/>
    <col min="83" max="83" width="9.7265625" style="1" customWidth="1"/>
    <col min="84" max="85" width="7.1796875" style="1" customWidth="1"/>
    <col min="86" max="86" width="8.26953125" style="1" customWidth="1"/>
    <col min="87" max="92" width="9.26953125" style="1"/>
    <col min="93" max="93" width="9.26953125" style="1" customWidth="1"/>
    <col min="94" max="94" width="9.26953125" style="1"/>
    <col min="95" max="95" width="9.26953125" style="1" customWidth="1"/>
    <col min="96" max="16384" width="9.26953125" style="1"/>
  </cols>
  <sheetData>
    <row r="1" spans="2:94" ht="19.149999999999999" customHeight="1" x14ac:dyDescent="0.3"/>
    <row r="2" spans="2:94" ht="15.4" customHeight="1" x14ac:dyDescent="0.3"/>
    <row r="3" spans="2:94" ht="13.5" thickBot="1" x14ac:dyDescent="0.35"/>
    <row r="4" spans="2:94" ht="18.75" customHeight="1" x14ac:dyDescent="0.3">
      <c r="E4" s="165" t="s">
        <v>0</v>
      </c>
      <c r="F4" s="165" t="s">
        <v>13</v>
      </c>
      <c r="G4" s="154" t="s">
        <v>406</v>
      </c>
      <c r="H4" s="154"/>
      <c r="I4" s="154"/>
      <c r="J4" s="154"/>
      <c r="K4" s="155"/>
      <c r="L4" s="153" t="s">
        <v>170</v>
      </c>
      <c r="M4" s="154"/>
      <c r="N4" s="155"/>
      <c r="O4" s="155"/>
      <c r="P4" s="155"/>
      <c r="Q4" s="153" t="s">
        <v>171</v>
      </c>
      <c r="R4" s="154"/>
      <c r="S4" s="155"/>
      <c r="T4" s="155"/>
      <c r="U4" s="155"/>
      <c r="V4" s="153" t="s">
        <v>172</v>
      </c>
      <c r="W4" s="154"/>
      <c r="X4" s="155"/>
      <c r="Y4" s="155"/>
      <c r="Z4" s="155"/>
      <c r="AA4" s="153" t="s">
        <v>407</v>
      </c>
      <c r="AB4" s="154"/>
      <c r="AC4" s="154"/>
      <c r="AD4" s="154"/>
      <c r="AE4" s="155"/>
      <c r="AF4" s="153" t="s">
        <v>18</v>
      </c>
      <c r="AG4" s="154"/>
      <c r="AH4" s="155"/>
      <c r="AI4" s="155"/>
      <c r="AJ4" s="155"/>
      <c r="AK4" s="153" t="s">
        <v>19</v>
      </c>
      <c r="AL4" s="154"/>
      <c r="AM4" s="155"/>
      <c r="AN4" s="155"/>
      <c r="AO4" s="155"/>
      <c r="AP4" s="153" t="s">
        <v>20</v>
      </c>
      <c r="AQ4" s="154"/>
      <c r="AR4" s="155"/>
      <c r="AS4" s="155"/>
      <c r="AT4" s="155"/>
      <c r="AU4" s="153" t="s">
        <v>410</v>
      </c>
      <c r="AV4" s="154"/>
      <c r="AW4" s="154"/>
      <c r="AX4" s="154"/>
      <c r="AY4" s="155"/>
      <c r="AZ4" s="153" t="s">
        <v>113</v>
      </c>
      <c r="BA4" s="154"/>
      <c r="BB4" s="155"/>
      <c r="BC4" s="155"/>
      <c r="BD4" s="155"/>
      <c r="BE4" s="153" t="s">
        <v>114</v>
      </c>
      <c r="BF4" s="154"/>
      <c r="BG4" s="155"/>
      <c r="BH4" s="155"/>
      <c r="BI4" s="155"/>
      <c r="BJ4" s="153" t="s">
        <v>115</v>
      </c>
      <c r="BK4" s="154"/>
      <c r="BL4" s="155"/>
      <c r="BM4" s="155"/>
      <c r="BN4" s="164"/>
      <c r="BO4" s="153" t="s">
        <v>409</v>
      </c>
      <c r="BP4" s="154"/>
      <c r="BQ4" s="154"/>
      <c r="BR4" s="154"/>
      <c r="BS4" s="155"/>
      <c r="BT4" s="153" t="s">
        <v>127</v>
      </c>
      <c r="BU4" s="154"/>
      <c r="BV4" s="155"/>
      <c r="BW4" s="155"/>
      <c r="BX4" s="155"/>
      <c r="BY4" s="153" t="s">
        <v>128</v>
      </c>
      <c r="BZ4" s="154"/>
      <c r="CA4" s="155"/>
      <c r="CB4" s="155"/>
      <c r="CC4" s="155"/>
      <c r="CD4" s="153" t="s">
        <v>129</v>
      </c>
      <c r="CE4" s="154"/>
      <c r="CF4" s="155"/>
      <c r="CG4" s="155"/>
      <c r="CH4" s="164"/>
    </row>
    <row r="5" spans="2:94" ht="21.75" customHeight="1" x14ac:dyDescent="0.3">
      <c r="E5" s="166"/>
      <c r="F5" s="166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3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0</v>
      </c>
      <c r="BQ6" s="71">
        <f>IFERROR(BP6/BO6,0)</f>
        <v>0</v>
      </c>
      <c r="BR6" s="75">
        <f>BP6-BO6</f>
        <v>-33</v>
      </c>
      <c r="BS6" s="110">
        <f>IFERROR(AVERAGEIFS(Cliente!$CB:$CB,Cliente!$B:$B,Geral!$E6,Cliente!$CB:$CB,"&gt;0"),0)</f>
        <v>59.287333333333336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0</v>
      </c>
      <c r="CF6" s="71">
        <f>CE6/CD6</f>
        <v>0</v>
      </c>
      <c r="CG6" s="75">
        <f>CE6-CD6</f>
        <v>-33</v>
      </c>
      <c r="CH6" s="116">
        <f>IFERROR(AVERAGEIFS(Cliente!$DD:$DD,Cliente!$B:$B,Geral!$E6,Cliente!$DD:$DD,"&gt;0"),0)</f>
        <v>0</v>
      </c>
    </row>
    <row r="7" spans="2:94" ht="15.75" customHeight="1" x14ac:dyDescent="0.3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0</v>
      </c>
      <c r="BQ7" s="71">
        <f t="shared" ref="BQ7" si="18">IFERROR(BP7/BO7,0)</f>
        <v>0</v>
      </c>
      <c r="BR7" s="75">
        <f t="shared" ref="BR7:BR8" si="19">BP7-BO7</f>
        <v>-38</v>
      </c>
      <c r="BS7" s="110">
        <f>IFERROR(AVERAGEIFS(Cliente!$CB:$CB,Cliente!$B:$B,Geral!$E7,Cliente!$CB:$CB,"&gt;0"),0)</f>
        <v>55.280476190476179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0</v>
      </c>
      <c r="CF7" s="71">
        <f t="shared" ref="CF7" si="24">CE7/CD7</f>
        <v>0</v>
      </c>
      <c r="CG7" s="75">
        <f t="shared" ref="CG7" si="25">CE7-CD7</f>
        <v>-38</v>
      </c>
      <c r="CH7" s="116">
        <f>IFERROR(AVERAGEIFS(Cliente!$DD:$DD,Cliente!$B:$B,Geral!$E7,Cliente!$DD:$DD,"&gt;0"),0)</f>
        <v>0</v>
      </c>
    </row>
    <row r="8" spans="2:94" ht="15.75" customHeight="1" thickBot="1" x14ac:dyDescent="0.3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0</v>
      </c>
      <c r="BQ8" s="19">
        <f>IFERROR(BP8/BO8,0)</f>
        <v>0</v>
      </c>
      <c r="BR8" s="99">
        <f t="shared" si="19"/>
        <v>-71</v>
      </c>
      <c r="BS8" s="111">
        <f>Cliente!$CB$2</f>
        <v>59.431709013914087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0</v>
      </c>
      <c r="CF8" s="27">
        <f>CE8/CD8</f>
        <v>0</v>
      </c>
      <c r="CG8" s="26">
        <f>CE8-CD8</f>
        <v>-71</v>
      </c>
      <c r="CH8" s="117">
        <f>Cliente!$DD$2</f>
        <v>0</v>
      </c>
    </row>
    <row r="9" spans="2:94" ht="14.25" customHeight="1" x14ac:dyDescent="0.3">
      <c r="B9" s="3"/>
      <c r="C9" s="2"/>
      <c r="E9" s="41" t="s">
        <v>1860</v>
      </c>
    </row>
    <row r="10" spans="2:94" ht="10.5" customHeight="1" x14ac:dyDescent="0.3">
      <c r="B10" s="3"/>
      <c r="C10" s="2"/>
    </row>
    <row r="11" spans="2:94" ht="10.5" customHeight="1" x14ac:dyDescent="0.3">
      <c r="B11" s="3"/>
      <c r="C11" s="2"/>
    </row>
    <row r="12" spans="2:94" ht="10.5" customHeight="1" thickBot="1" x14ac:dyDescent="0.35">
      <c r="B12" s="3"/>
      <c r="C12" s="2"/>
    </row>
    <row r="13" spans="2:94" ht="18" customHeight="1" x14ac:dyDescent="0.35">
      <c r="B13" s="159" t="s">
        <v>110</v>
      </c>
      <c r="C13" s="160"/>
      <c r="D13" s="160"/>
      <c r="E13" s="161"/>
      <c r="F13" s="162" t="s">
        <v>13</v>
      </c>
      <c r="G13" s="153" t="s">
        <v>406</v>
      </c>
      <c r="H13" s="154"/>
      <c r="I13" s="154"/>
      <c r="J13" s="154"/>
      <c r="K13" s="155"/>
      <c r="L13" s="153" t="s">
        <v>170</v>
      </c>
      <c r="M13" s="154"/>
      <c r="N13" s="155"/>
      <c r="O13" s="155"/>
      <c r="P13" s="155"/>
      <c r="Q13" s="153" t="s">
        <v>171</v>
      </c>
      <c r="R13" s="154"/>
      <c r="S13" s="155"/>
      <c r="T13" s="155"/>
      <c r="U13" s="155"/>
      <c r="V13" s="153" t="s">
        <v>172</v>
      </c>
      <c r="W13" s="154"/>
      <c r="X13" s="155"/>
      <c r="Y13" s="155"/>
      <c r="Z13" s="155"/>
      <c r="AA13" s="153" t="s">
        <v>407</v>
      </c>
      <c r="AB13" s="154"/>
      <c r="AC13" s="154"/>
      <c r="AD13" s="154"/>
      <c r="AE13" s="155"/>
      <c r="AF13" s="153" t="s">
        <v>18</v>
      </c>
      <c r="AG13" s="154"/>
      <c r="AH13" s="155"/>
      <c r="AI13" s="155"/>
      <c r="AJ13" s="155"/>
      <c r="AK13" s="153" t="s">
        <v>19</v>
      </c>
      <c r="AL13" s="154"/>
      <c r="AM13" s="155"/>
      <c r="AN13" s="155"/>
      <c r="AO13" s="155"/>
      <c r="AP13" s="153" t="s">
        <v>20</v>
      </c>
      <c r="AQ13" s="154"/>
      <c r="AR13" s="155"/>
      <c r="AS13" s="155"/>
      <c r="AT13" s="155"/>
      <c r="AU13" s="153" t="s">
        <v>410</v>
      </c>
      <c r="AV13" s="154"/>
      <c r="AW13" s="154"/>
      <c r="AX13" s="154"/>
      <c r="AY13" s="155"/>
      <c r="AZ13" s="153" t="s">
        <v>113</v>
      </c>
      <c r="BA13" s="154"/>
      <c r="BB13" s="155"/>
      <c r="BC13" s="155"/>
      <c r="BD13" s="155"/>
      <c r="BE13" s="153" t="s">
        <v>114</v>
      </c>
      <c r="BF13" s="154"/>
      <c r="BG13" s="155"/>
      <c r="BH13" s="155"/>
      <c r="BI13" s="155"/>
      <c r="BJ13" s="153" t="s">
        <v>115</v>
      </c>
      <c r="BK13" s="154"/>
      <c r="BL13" s="155"/>
      <c r="BM13" s="155"/>
      <c r="BN13" s="164"/>
      <c r="BO13" s="153" t="s">
        <v>408</v>
      </c>
      <c r="BP13" s="154"/>
      <c r="BQ13" s="154"/>
      <c r="BR13" s="154"/>
      <c r="BS13" s="155"/>
      <c r="BT13" s="153" t="s">
        <v>127</v>
      </c>
      <c r="BU13" s="154"/>
      <c r="BV13" s="155"/>
      <c r="BW13" s="155"/>
      <c r="BX13" s="155"/>
      <c r="BY13" s="153" t="s">
        <v>128</v>
      </c>
      <c r="BZ13" s="154"/>
      <c r="CA13" s="155"/>
      <c r="CB13" s="155"/>
      <c r="CC13" s="155"/>
      <c r="CD13" s="153" t="s">
        <v>129</v>
      </c>
      <c r="CE13" s="154"/>
      <c r="CF13" s="155"/>
      <c r="CG13" s="155"/>
      <c r="CH13" s="164"/>
      <c r="CO13"/>
      <c r="CP13"/>
    </row>
    <row r="14" spans="2:94" ht="23.25" customHeight="1" x14ac:dyDescent="0.35">
      <c r="B14" s="22" t="s">
        <v>0</v>
      </c>
      <c r="C14" s="17" t="s">
        <v>1</v>
      </c>
      <c r="D14" s="17" t="s">
        <v>2</v>
      </c>
      <c r="E14" s="18" t="s">
        <v>15</v>
      </c>
      <c r="F14" s="163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3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0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0</v>
      </c>
      <c r="CF15" s="71">
        <f t="shared" ref="CF15:CF22" si="39">CE15/CD15</f>
        <v>0</v>
      </c>
      <c r="CG15" s="75">
        <f t="shared" ref="CG15:CG22" si="40">CE15-CD15</f>
        <v>-3</v>
      </c>
      <c r="CH15" s="118">
        <f>IFERROR(AVERAGEIFS(Cliente!$DD:$DD,Cliente!$C:$C,Geral!$C15,Cliente!$DD:$DD,"&gt;0"),0)</f>
        <v>0</v>
      </c>
      <c r="CO15"/>
      <c r="CP15"/>
    </row>
    <row r="16" spans="2:94" ht="15" customHeight="1" x14ac:dyDescent="0.3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0</v>
      </c>
      <c r="BQ16" s="71">
        <f t="shared" ref="BQ16:BQ23" si="54">IFERROR(BP16/BO16,0)</f>
        <v>0</v>
      </c>
      <c r="BR16" s="75">
        <f t="shared" ref="BR16:BR23" si="55">BP16-BO16</f>
        <v>-20</v>
      </c>
      <c r="BS16" s="110">
        <f>IFERROR(AVERAGEIFS(Cliente!$CB:$CB,Cliente!$C:$C,Geral!$C16,Cliente!$CB:$CB,"&gt;0"),0)</f>
        <v>58.659166666666671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0</v>
      </c>
      <c r="CF16" s="71">
        <f t="shared" si="39"/>
        <v>0</v>
      </c>
      <c r="CG16" s="75">
        <f t="shared" si="40"/>
        <v>-20</v>
      </c>
      <c r="CH16" s="118">
        <f>IFERROR(AVERAGEIFS(Cliente!$DD:$DD,Cliente!$C:$C,Geral!$C16,Cliente!$DD:$DD,"&gt;0"),0)</f>
        <v>0</v>
      </c>
      <c r="CO16"/>
      <c r="CP16"/>
    </row>
    <row r="17" spans="2:94" ht="15" customHeight="1" x14ac:dyDescent="0.3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0</v>
      </c>
      <c r="BQ17" s="71">
        <f t="shared" si="54"/>
        <v>0</v>
      </c>
      <c r="BR17" s="75">
        <f t="shared" si="55"/>
        <v>-3</v>
      </c>
      <c r="BS17" s="110">
        <f>IFERROR(AVERAGEIFS(Cliente!$CB:$CB,Cliente!$C:$C,Geral!$C17,Cliente!$CB:$CB,"&gt;0"),0)</f>
        <v>62.733333333333341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0</v>
      </c>
      <c r="CF17" s="71">
        <f t="shared" si="39"/>
        <v>0</v>
      </c>
      <c r="CG17" s="75">
        <f t="shared" si="40"/>
        <v>-3</v>
      </c>
      <c r="CH17" s="118">
        <f>IFERROR(AVERAGEIFS(Cliente!$DD:$DD,Cliente!$C:$C,Geral!$C17,Cliente!$DD:$DD,"&gt;0"),0)</f>
        <v>0</v>
      </c>
      <c r="CO17"/>
      <c r="CP17"/>
    </row>
    <row r="18" spans="2:94" ht="15" customHeight="1" x14ac:dyDescent="0.3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0</v>
      </c>
      <c r="BQ18" s="71">
        <f t="shared" si="54"/>
        <v>0</v>
      </c>
      <c r="BR18" s="75">
        <f t="shared" si="55"/>
        <v>-7</v>
      </c>
      <c r="BS18" s="110">
        <f>IFERROR(AVERAGEIFS(Cliente!$CB:$CB,Cliente!$C:$C,Geral!$C18,Cliente!$CB:$CB,"&gt;0"),0)</f>
        <v>60.400000000000006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0</v>
      </c>
      <c r="CF18" s="71">
        <f t="shared" si="39"/>
        <v>0</v>
      </c>
      <c r="CG18" s="75">
        <f t="shared" si="40"/>
        <v>-7</v>
      </c>
      <c r="CH18" s="118">
        <f>IFERROR(AVERAGEIFS(Cliente!$DD:$DD,Cliente!$C:$C,Geral!$C18,Cliente!$DD:$DD,"&gt;0"),0)</f>
        <v>0</v>
      </c>
      <c r="CO18"/>
      <c r="CP18"/>
    </row>
    <row r="19" spans="2:94" ht="15" customHeight="1" x14ac:dyDescent="0.3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0</v>
      </c>
      <c r="BQ19" s="71">
        <f t="shared" si="54"/>
        <v>0</v>
      </c>
      <c r="BR19" s="75">
        <f t="shared" si="55"/>
        <v>-6</v>
      </c>
      <c r="BS19" s="110">
        <f>IFERROR(AVERAGEIFS(Cliente!$CB:$CB,Cliente!$C:$C,Geral!$C19,Cliente!$CB:$CB,"&gt;0"),0)</f>
        <v>44.910277777777772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0</v>
      </c>
      <c r="CF19" s="71">
        <f t="shared" si="39"/>
        <v>0</v>
      </c>
      <c r="CG19" s="75">
        <f t="shared" si="40"/>
        <v>-6</v>
      </c>
      <c r="CH19" s="118">
        <f>IFERROR(AVERAGEIFS(Cliente!$DD:$DD,Cliente!$C:$C,Geral!$C19,Cliente!$DD:$DD,"&gt;0"),0)</f>
        <v>0</v>
      </c>
      <c r="CO19"/>
      <c r="CP19"/>
    </row>
    <row r="20" spans="2:94" ht="15" customHeight="1" x14ac:dyDescent="0.3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0</v>
      </c>
      <c r="BQ20" s="71">
        <f t="shared" si="54"/>
        <v>0</v>
      </c>
      <c r="BR20" s="75">
        <f t="shared" si="55"/>
        <v>-7</v>
      </c>
      <c r="BS20" s="110">
        <f>IFERROR(AVERAGEIFS(Cliente!$CB:$CB,Cliente!$C:$C,Geral!$C20,Cliente!$CB:$CB,"&gt;0"),0)</f>
        <v>55.151666666666664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0</v>
      </c>
      <c r="CF20" s="71">
        <f t="shared" si="39"/>
        <v>0</v>
      </c>
      <c r="CG20" s="75">
        <f t="shared" si="40"/>
        <v>-7</v>
      </c>
      <c r="CH20" s="118">
        <f>IFERROR(AVERAGEIFS(Cliente!$DD:$DD,Cliente!$C:$C,Geral!$C20,Cliente!$DD:$DD,"&gt;0"),0)</f>
        <v>0</v>
      </c>
      <c r="CO20"/>
      <c r="CP20"/>
    </row>
    <row r="21" spans="2:94" ht="15" customHeight="1" x14ac:dyDescent="0.3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0</v>
      </c>
      <c r="BQ21" s="71">
        <f t="shared" si="54"/>
        <v>0</v>
      </c>
      <c r="BR21" s="75">
        <f t="shared" si="55"/>
        <v>-24</v>
      </c>
      <c r="BS21" s="110">
        <f>IFERROR(AVERAGEIFS(Cliente!$CB:$CB,Cliente!$C:$C,Geral!$C21,Cliente!$CB:$CB,"&gt;0"),0)</f>
        <v>57.588260869565218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0</v>
      </c>
      <c r="CF21" s="71">
        <f t="shared" si="39"/>
        <v>0</v>
      </c>
      <c r="CG21" s="75">
        <f t="shared" si="40"/>
        <v>-24</v>
      </c>
      <c r="CH21" s="118">
        <f>IFERROR(AVERAGEIFS(Cliente!$DD:$DD,Cliente!$C:$C,Geral!$C21,Cliente!$DD:$DD,"&gt;0"),0)</f>
        <v>0</v>
      </c>
      <c r="CO21"/>
      <c r="CP21"/>
    </row>
    <row r="22" spans="2:94" ht="15" customHeight="1" x14ac:dyDescent="0.3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0</v>
      </c>
      <c r="BQ22" s="71">
        <f t="shared" si="54"/>
        <v>0</v>
      </c>
      <c r="BR22" s="75">
        <f t="shared" si="55"/>
        <v>-1</v>
      </c>
      <c r="BS22" s="110">
        <f>IFERROR(AVERAGEIFS(Cliente!$CB:$CB,Cliente!$C:$C,Geral!$C22,Cliente!$CB:$CB,"&gt;0"),0)</f>
        <v>65.066666666666663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0</v>
      </c>
      <c r="CF22" s="71">
        <f t="shared" si="39"/>
        <v>0</v>
      </c>
      <c r="CG22" s="75">
        <f t="shared" si="40"/>
        <v>-1</v>
      </c>
      <c r="CH22" s="118">
        <f>IFERROR(AVERAGEIFS(Cliente!$DD:$DD,Cliente!$C:$C,Geral!$C22,Cliente!$DD:$DD,"&gt;0"),0)</f>
        <v>0</v>
      </c>
      <c r="CO22"/>
      <c r="CP22"/>
    </row>
    <row r="23" spans="2:94" ht="15.75" customHeight="1" thickBot="1" x14ac:dyDescent="0.4">
      <c r="B23" s="156" t="s">
        <v>14</v>
      </c>
      <c r="C23" s="157"/>
      <c r="D23" s="157"/>
      <c r="E23" s="158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0</v>
      </c>
      <c r="BQ23" s="100">
        <f t="shared" si="54"/>
        <v>0</v>
      </c>
      <c r="BR23" s="69">
        <f t="shared" si="55"/>
        <v>-71</v>
      </c>
      <c r="BS23" s="111">
        <f>Cliente!$CB$2</f>
        <v>59.431709013914087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0</v>
      </c>
      <c r="CF23" s="72">
        <f>CE23/CD23</f>
        <v>0</v>
      </c>
      <c r="CG23" s="74">
        <f>CE23-CD23</f>
        <v>-71</v>
      </c>
      <c r="CH23" s="117">
        <f>Cliente!$DD$2</f>
        <v>0</v>
      </c>
      <c r="CO23"/>
      <c r="CP23"/>
    </row>
    <row r="24" spans="2:94" ht="14.5" x14ac:dyDescent="0.35">
      <c r="D24" s="6"/>
      <c r="E24" s="7"/>
      <c r="CO24"/>
      <c r="CP24"/>
    </row>
    <row r="25" spans="2:94" ht="14.5" x14ac:dyDescent="0.35">
      <c r="F25"/>
      <c r="CO25"/>
      <c r="CP25"/>
    </row>
    <row r="26" spans="2:94" ht="14.5" x14ac:dyDescent="0.35">
      <c r="F26"/>
      <c r="CO26"/>
      <c r="CP26"/>
    </row>
    <row r="27" spans="2:94" ht="14.5" x14ac:dyDescent="0.35">
      <c r="F27"/>
      <c r="CO27"/>
      <c r="CP27"/>
    </row>
    <row r="28" spans="2:94" ht="14.5" x14ac:dyDescent="0.35">
      <c r="F28"/>
      <c r="CO28"/>
      <c r="CP28"/>
    </row>
    <row r="29" spans="2:94" ht="14.5" x14ac:dyDescent="0.35">
      <c r="F29"/>
      <c r="CO29"/>
      <c r="CP29"/>
    </row>
    <row r="30" spans="2:94" ht="14.5" x14ac:dyDescent="0.35">
      <c r="F30"/>
      <c r="CO30"/>
      <c r="CP30"/>
    </row>
    <row r="31" spans="2:94" ht="14.5" x14ac:dyDescent="0.35">
      <c r="F31"/>
      <c r="CO31"/>
      <c r="CP31"/>
    </row>
    <row r="32" spans="2:94" ht="14.5" x14ac:dyDescent="0.35">
      <c r="F32"/>
      <c r="L32"/>
      <c r="CO32"/>
      <c r="CP32"/>
    </row>
    <row r="33" spans="6:94" ht="14.5" x14ac:dyDescent="0.35">
      <c r="F33"/>
      <c r="L33"/>
      <c r="CO33"/>
      <c r="CP33"/>
    </row>
    <row r="34" spans="6:94" ht="14.5" x14ac:dyDescent="0.35">
      <c r="F34"/>
      <c r="L34"/>
      <c r="CO34"/>
      <c r="CP34"/>
    </row>
    <row r="35" spans="6:94" ht="14.5" x14ac:dyDescent="0.35">
      <c r="F35"/>
      <c r="L35"/>
      <c r="CO35"/>
      <c r="CP35"/>
    </row>
    <row r="36" spans="6:94" ht="14.5" x14ac:dyDescent="0.35">
      <c r="F36"/>
      <c r="L36"/>
      <c r="CO36"/>
      <c r="CP36"/>
    </row>
    <row r="37" spans="6:94" ht="14.5" x14ac:dyDescent="0.35">
      <c r="F37"/>
      <c r="L37"/>
      <c r="CO37"/>
      <c r="CP37"/>
    </row>
    <row r="38" spans="6:94" ht="14.5" x14ac:dyDescent="0.35">
      <c r="F38"/>
      <c r="L38"/>
      <c r="CO38"/>
      <c r="CP38"/>
    </row>
    <row r="39" spans="6:94" ht="14.5" x14ac:dyDescent="0.35">
      <c r="F39"/>
      <c r="L39"/>
      <c r="CO39"/>
      <c r="CP39"/>
    </row>
    <row r="40" spans="6:94" ht="14.5" x14ac:dyDescent="0.35">
      <c r="F40"/>
      <c r="L40"/>
      <c r="CO40"/>
      <c r="CP40"/>
    </row>
    <row r="41" spans="6:94" ht="14.5" x14ac:dyDescent="0.35">
      <c r="F41"/>
      <c r="L41"/>
      <c r="CO41"/>
      <c r="CP41"/>
    </row>
    <row r="42" spans="6:94" ht="14.5" x14ac:dyDescent="0.35">
      <c r="F42"/>
      <c r="L42"/>
      <c r="CO42"/>
      <c r="CP42"/>
    </row>
    <row r="43" spans="6:94" ht="14.5" x14ac:dyDescent="0.35">
      <c r="F43"/>
      <c r="L43"/>
      <c r="CO43"/>
      <c r="CP43"/>
    </row>
    <row r="44" spans="6:94" ht="14.5" x14ac:dyDescent="0.35">
      <c r="F44"/>
      <c r="L44"/>
      <c r="CO44"/>
      <c r="CP44"/>
    </row>
    <row r="45" spans="6:94" ht="14.5" x14ac:dyDescent="0.35">
      <c r="F45"/>
      <c r="L45"/>
      <c r="CO45"/>
      <c r="CP45"/>
    </row>
    <row r="46" spans="6:94" ht="14.5" x14ac:dyDescent="0.35">
      <c r="F46"/>
      <c r="L46"/>
      <c r="CO46"/>
      <c r="CP46"/>
    </row>
    <row r="47" spans="6:94" ht="14.5" x14ac:dyDescent="0.35">
      <c r="F47"/>
      <c r="L47"/>
      <c r="CO47"/>
      <c r="CP47"/>
    </row>
    <row r="48" spans="6:94" ht="14.5" x14ac:dyDescent="0.35">
      <c r="F48"/>
      <c r="L48"/>
      <c r="CO48"/>
      <c r="CP48"/>
    </row>
    <row r="49" spans="6:94" ht="14.5" x14ac:dyDescent="0.35">
      <c r="F49"/>
      <c r="L49"/>
      <c r="CO49"/>
      <c r="CP49"/>
    </row>
    <row r="50" spans="6:94" ht="14.5" x14ac:dyDescent="0.35">
      <c r="F50"/>
      <c r="L50"/>
      <c r="CO50"/>
      <c r="CP50"/>
    </row>
    <row r="51" spans="6:94" ht="14.5" x14ac:dyDescent="0.35">
      <c r="F51"/>
      <c r="L51"/>
      <c r="CO51"/>
      <c r="CP51"/>
    </row>
    <row r="52" spans="6:94" ht="14.5" x14ac:dyDescent="0.35">
      <c r="F52"/>
      <c r="L52"/>
      <c r="CO52"/>
      <c r="CP52"/>
    </row>
    <row r="53" spans="6:94" ht="14.5" x14ac:dyDescent="0.35">
      <c r="F53"/>
      <c r="L53"/>
      <c r="CO53"/>
      <c r="CP53"/>
    </row>
    <row r="54" spans="6:94" ht="14.5" x14ac:dyDescent="0.35">
      <c r="F54"/>
      <c r="L54"/>
      <c r="CO54"/>
      <c r="CP54"/>
    </row>
    <row r="55" spans="6:94" ht="14.5" x14ac:dyDescent="0.35">
      <c r="F55"/>
      <c r="L55"/>
      <c r="CO55"/>
      <c r="CP55"/>
    </row>
    <row r="56" spans="6:94" ht="14.5" x14ac:dyDescent="0.35">
      <c r="F56"/>
      <c r="L56"/>
      <c r="CO56"/>
      <c r="CP56"/>
    </row>
    <row r="57" spans="6:94" ht="14.5" x14ac:dyDescent="0.35">
      <c r="F57"/>
      <c r="L57"/>
      <c r="CO57"/>
      <c r="CP57"/>
    </row>
    <row r="58" spans="6:94" ht="14.5" x14ac:dyDescent="0.35">
      <c r="F58"/>
      <c r="L58"/>
      <c r="CO58"/>
      <c r="CP58"/>
    </row>
    <row r="59" spans="6:94" ht="14.5" x14ac:dyDescent="0.35">
      <c r="F59"/>
      <c r="L59"/>
      <c r="CO59"/>
      <c r="CP59"/>
    </row>
    <row r="60" spans="6:94" ht="14.5" x14ac:dyDescent="0.35">
      <c r="F60"/>
      <c r="L60"/>
      <c r="CO60"/>
      <c r="CP60"/>
    </row>
    <row r="61" spans="6:94" ht="14.5" x14ac:dyDescent="0.35">
      <c r="F61"/>
      <c r="L61"/>
      <c r="CO61"/>
      <c r="CP61"/>
    </row>
    <row r="62" spans="6:94" ht="14.5" x14ac:dyDescent="0.35">
      <c r="F62"/>
      <c r="L62"/>
      <c r="CO62"/>
      <c r="CP62"/>
    </row>
    <row r="63" spans="6:94" ht="14.5" x14ac:dyDescent="0.35">
      <c r="F63"/>
      <c r="L63"/>
      <c r="CO63"/>
      <c r="CP63"/>
    </row>
    <row r="64" spans="6:94" ht="14.5" x14ac:dyDescent="0.35">
      <c r="F64"/>
      <c r="L64"/>
      <c r="CO64"/>
      <c r="CP64"/>
    </row>
    <row r="65" spans="6:94" ht="14.5" x14ac:dyDescent="0.35">
      <c r="F65"/>
      <c r="L65"/>
      <c r="CO65"/>
      <c r="CP65"/>
    </row>
    <row r="66" spans="6:94" ht="14.5" x14ac:dyDescent="0.35">
      <c r="F66"/>
      <c r="L66"/>
      <c r="CO66"/>
      <c r="CP66"/>
    </row>
    <row r="67" spans="6:94" ht="14.5" x14ac:dyDescent="0.35">
      <c r="F67"/>
      <c r="L67"/>
      <c r="CO67"/>
      <c r="CP67"/>
    </row>
    <row r="68" spans="6:94" ht="14.5" x14ac:dyDescent="0.35">
      <c r="F68"/>
      <c r="L68"/>
      <c r="CO68"/>
      <c r="CP68"/>
    </row>
    <row r="69" spans="6:94" ht="14.5" x14ac:dyDescent="0.35">
      <c r="F69"/>
      <c r="L69"/>
      <c r="CO69"/>
      <c r="CP69"/>
    </row>
    <row r="70" spans="6:94" ht="14.5" x14ac:dyDescent="0.35">
      <c r="F70"/>
      <c r="L70"/>
      <c r="CO70"/>
      <c r="CP70"/>
    </row>
    <row r="71" spans="6:94" ht="14.5" x14ac:dyDescent="0.35">
      <c r="F71"/>
      <c r="L71"/>
      <c r="CO71"/>
      <c r="CP71"/>
    </row>
    <row r="72" spans="6:94" ht="14.5" x14ac:dyDescent="0.35">
      <c r="F72"/>
      <c r="L72"/>
      <c r="CO72"/>
      <c r="CP72"/>
    </row>
    <row r="73" spans="6:94" ht="14.5" x14ac:dyDescent="0.35">
      <c r="F73"/>
      <c r="L73"/>
      <c r="CO73"/>
      <c r="CP73"/>
    </row>
    <row r="74" spans="6:94" ht="14.5" x14ac:dyDescent="0.35">
      <c r="F74"/>
      <c r="L74"/>
      <c r="CO74"/>
      <c r="CP74"/>
    </row>
    <row r="75" spans="6:94" ht="14.5" x14ac:dyDescent="0.35">
      <c r="F75"/>
      <c r="L75"/>
      <c r="CO75"/>
      <c r="CP75"/>
    </row>
    <row r="76" spans="6:94" ht="14.5" x14ac:dyDescent="0.35">
      <c r="F76"/>
      <c r="L76"/>
      <c r="CO76"/>
      <c r="CP76"/>
    </row>
    <row r="77" spans="6:94" ht="14.5" x14ac:dyDescent="0.35">
      <c r="F77"/>
      <c r="L77"/>
      <c r="CO77"/>
      <c r="CP77"/>
    </row>
    <row r="78" spans="6:94" ht="14.5" x14ac:dyDescent="0.35">
      <c r="F78"/>
      <c r="L78"/>
      <c r="CO78"/>
      <c r="CP78"/>
    </row>
    <row r="79" spans="6:94" ht="14.5" x14ac:dyDescent="0.35">
      <c r="F79"/>
      <c r="L79"/>
      <c r="CO79"/>
      <c r="CP79"/>
    </row>
    <row r="80" spans="6:94" ht="14.5" x14ac:dyDescent="0.35">
      <c r="F80"/>
      <c r="L80"/>
      <c r="CO80"/>
      <c r="CP80"/>
    </row>
    <row r="81" spans="6:94" ht="14.5" x14ac:dyDescent="0.35">
      <c r="F81"/>
      <c r="L81"/>
      <c r="CO81"/>
      <c r="CP81"/>
    </row>
    <row r="82" spans="6:94" ht="14.5" x14ac:dyDescent="0.35">
      <c r="F82"/>
      <c r="L82"/>
      <c r="CO82"/>
      <c r="CP82"/>
    </row>
    <row r="83" spans="6:94" ht="14.5" x14ac:dyDescent="0.35">
      <c r="F83"/>
      <c r="L83"/>
    </row>
    <row r="84" spans="6:94" ht="14.5" x14ac:dyDescent="0.35">
      <c r="F84"/>
      <c r="L84"/>
    </row>
    <row r="85" spans="6:94" ht="14.5" x14ac:dyDescent="0.35">
      <c r="F85"/>
      <c r="L85"/>
    </row>
    <row r="86" spans="6:94" ht="14.5" x14ac:dyDescent="0.35">
      <c r="F86"/>
      <c r="L86"/>
    </row>
    <row r="87" spans="6:94" ht="14.5" x14ac:dyDescent="0.35">
      <c r="F87"/>
      <c r="L87"/>
    </row>
    <row r="88" spans="6:94" ht="14.5" x14ac:dyDescent="0.35">
      <c r="F88"/>
      <c r="L88"/>
    </row>
    <row r="89" spans="6:94" ht="14.5" x14ac:dyDescent="0.35">
      <c r="F89"/>
      <c r="L89"/>
    </row>
    <row r="90" spans="6:94" ht="14.5" x14ac:dyDescent="0.35">
      <c r="F90"/>
      <c r="L90"/>
    </row>
    <row r="91" spans="6:94" ht="14.5" x14ac:dyDescent="0.35">
      <c r="F91"/>
      <c r="L91"/>
    </row>
    <row r="92" spans="6:94" ht="14.5" x14ac:dyDescent="0.35">
      <c r="F92"/>
      <c r="L92"/>
    </row>
    <row r="93" spans="6:94" ht="14.5" x14ac:dyDescent="0.35">
      <c r="F93"/>
      <c r="L93"/>
    </row>
    <row r="94" spans="6:94" ht="14.5" x14ac:dyDescent="0.35">
      <c r="F94"/>
      <c r="L94"/>
    </row>
    <row r="95" spans="6:94" ht="14.5" x14ac:dyDescent="0.35">
      <c r="F95"/>
      <c r="L95"/>
    </row>
    <row r="96" spans="6:94" ht="14.5" x14ac:dyDescent="0.35">
      <c r="F96"/>
      <c r="L96"/>
    </row>
    <row r="97" spans="6:12" ht="14.5" x14ac:dyDescent="0.35">
      <c r="F97"/>
      <c r="L97"/>
    </row>
    <row r="98" spans="6:12" ht="14.5" x14ac:dyDescent="0.35">
      <c r="F98"/>
      <c r="L98"/>
    </row>
    <row r="99" spans="6:12" ht="14.5" x14ac:dyDescent="0.35">
      <c r="F99"/>
      <c r="L99"/>
    </row>
    <row r="100" spans="6:12" ht="14.5" x14ac:dyDescent="0.35">
      <c r="F100"/>
      <c r="L100"/>
    </row>
    <row r="101" spans="6:12" ht="14.5" x14ac:dyDescent="0.35">
      <c r="F101"/>
      <c r="L101"/>
    </row>
    <row r="102" spans="6:12" ht="14.5" x14ac:dyDescent="0.35">
      <c r="F102"/>
      <c r="L102"/>
    </row>
    <row r="103" spans="6:12" ht="14.5" x14ac:dyDescent="0.35">
      <c r="F103"/>
      <c r="L103"/>
    </row>
    <row r="104" spans="6:12" ht="14.5" x14ac:dyDescent="0.35">
      <c r="F104"/>
      <c r="L104"/>
    </row>
    <row r="105" spans="6:12" ht="14.5" x14ac:dyDescent="0.35">
      <c r="F105"/>
      <c r="L105"/>
    </row>
    <row r="106" spans="6:12" ht="14.5" x14ac:dyDescent="0.35">
      <c r="F106"/>
      <c r="L106"/>
    </row>
    <row r="107" spans="6:12" ht="14.5" x14ac:dyDescent="0.35">
      <c r="F107"/>
      <c r="L107"/>
    </row>
    <row r="108" spans="6:12" ht="14.5" x14ac:dyDescent="0.35">
      <c r="F108"/>
      <c r="L108"/>
    </row>
    <row r="109" spans="6:12" ht="14.5" x14ac:dyDescent="0.35">
      <c r="F109"/>
      <c r="L109"/>
    </row>
    <row r="110" spans="6:12" ht="14.5" x14ac:dyDescent="0.35">
      <c r="F110"/>
      <c r="L110"/>
    </row>
    <row r="111" spans="6:12" ht="14.5" x14ac:dyDescent="0.35">
      <c r="F111"/>
      <c r="L111"/>
    </row>
    <row r="112" spans="6:12" ht="14.5" x14ac:dyDescent="0.35">
      <c r="F112"/>
      <c r="L112"/>
    </row>
    <row r="113" spans="6:12" ht="14.5" x14ac:dyDescent="0.35">
      <c r="F113"/>
      <c r="L113"/>
    </row>
    <row r="114" spans="6:12" ht="14.5" x14ac:dyDescent="0.35">
      <c r="F114"/>
      <c r="L114"/>
    </row>
    <row r="115" spans="6:12" ht="14.5" x14ac:dyDescent="0.35">
      <c r="F115"/>
      <c r="L115"/>
    </row>
    <row r="116" spans="6:12" ht="14.5" x14ac:dyDescent="0.35">
      <c r="F116"/>
      <c r="L116"/>
    </row>
    <row r="117" spans="6:12" ht="14.5" x14ac:dyDescent="0.35">
      <c r="F117"/>
      <c r="L117"/>
    </row>
    <row r="118" spans="6:12" ht="14.5" x14ac:dyDescent="0.35">
      <c r="F118"/>
      <c r="L118"/>
    </row>
    <row r="119" spans="6:12" ht="14.5" x14ac:dyDescent="0.35">
      <c r="F119"/>
      <c r="L119"/>
    </row>
    <row r="120" spans="6:12" ht="14.5" x14ac:dyDescent="0.35">
      <c r="F120"/>
      <c r="L120"/>
    </row>
    <row r="121" spans="6:12" ht="14.5" x14ac:dyDescent="0.35">
      <c r="F121"/>
      <c r="L121"/>
    </row>
    <row r="122" spans="6:12" ht="14.5" x14ac:dyDescent="0.35">
      <c r="F122"/>
      <c r="L122"/>
    </row>
    <row r="123" spans="6:12" ht="14.5" x14ac:dyDescent="0.35">
      <c r="F123"/>
      <c r="L123"/>
    </row>
    <row r="124" spans="6:12" ht="14.5" x14ac:dyDescent="0.35">
      <c r="F124"/>
      <c r="L124"/>
    </row>
    <row r="125" spans="6:12" ht="14.5" x14ac:dyDescent="0.35">
      <c r="F125"/>
      <c r="L125"/>
    </row>
    <row r="126" spans="6:12" ht="14.5" x14ac:dyDescent="0.35">
      <c r="F126"/>
      <c r="L126"/>
    </row>
    <row r="127" spans="6:12" ht="14.5" x14ac:dyDescent="0.35">
      <c r="F127"/>
      <c r="L127"/>
    </row>
    <row r="128" spans="6:12" ht="14.5" x14ac:dyDescent="0.35">
      <c r="F128"/>
      <c r="L128"/>
    </row>
    <row r="129" spans="6:12" ht="14.5" x14ac:dyDescent="0.35">
      <c r="F129"/>
      <c r="L129"/>
    </row>
    <row r="130" spans="6:12" ht="14.5" x14ac:dyDescent="0.35">
      <c r="F130"/>
      <c r="L130"/>
    </row>
    <row r="131" spans="6:12" ht="14.5" x14ac:dyDescent="0.35">
      <c r="F131"/>
      <c r="L131"/>
    </row>
    <row r="132" spans="6:12" ht="14.5" x14ac:dyDescent="0.35">
      <c r="F132"/>
      <c r="L132"/>
    </row>
    <row r="133" spans="6:12" ht="14.5" x14ac:dyDescent="0.35">
      <c r="F133"/>
      <c r="L133"/>
    </row>
    <row r="134" spans="6:12" ht="14.5" x14ac:dyDescent="0.35">
      <c r="F134"/>
      <c r="L134"/>
    </row>
    <row r="135" spans="6:12" ht="14.5" x14ac:dyDescent="0.35">
      <c r="F135"/>
      <c r="L135"/>
    </row>
    <row r="136" spans="6:12" ht="14.5" x14ac:dyDescent="0.35">
      <c r="L136"/>
    </row>
    <row r="137" spans="6:12" ht="14.5" x14ac:dyDescent="0.35">
      <c r="L137"/>
    </row>
    <row r="138" spans="6:12" ht="14.5" x14ac:dyDescent="0.35">
      <c r="L138"/>
    </row>
    <row r="139" spans="6:12" ht="14.5" x14ac:dyDescent="0.35">
      <c r="L139"/>
    </row>
    <row r="140" spans="6:12" ht="14.5" x14ac:dyDescent="0.35">
      <c r="L140"/>
    </row>
    <row r="141" spans="6:12" ht="14.5" x14ac:dyDescent="0.35">
      <c r="L141"/>
    </row>
    <row r="142" spans="6:12" ht="14.5" x14ac:dyDescent="0.35">
      <c r="L142"/>
    </row>
    <row r="143" spans="6:12" ht="14.5" x14ac:dyDescent="0.35">
      <c r="L143"/>
    </row>
    <row r="9524" spans="4:5" x14ac:dyDescent="0.3">
      <c r="E9524" s="4"/>
    </row>
    <row r="9529" spans="4:5" x14ac:dyDescent="0.3">
      <c r="D9529" s="4"/>
    </row>
    <row r="10159" spans="5:5" x14ac:dyDescent="0.3">
      <c r="E10159" s="4"/>
    </row>
    <row r="10161" spans="4:5" x14ac:dyDescent="0.3">
      <c r="E10161" s="4"/>
    </row>
    <row r="10164" spans="4:5" x14ac:dyDescent="0.3">
      <c r="D10164" s="4"/>
    </row>
    <row r="10166" spans="4:5" x14ac:dyDescent="0.3">
      <c r="D10166" s="4"/>
    </row>
    <row r="12411" spans="4:5" x14ac:dyDescent="0.3">
      <c r="E12411" s="4"/>
    </row>
    <row r="12415" spans="4:5" x14ac:dyDescent="0.3">
      <c r="E12415" s="4"/>
    </row>
    <row r="12416" spans="4:5" x14ac:dyDescent="0.3">
      <c r="D12416" s="4"/>
    </row>
    <row r="12420" spans="4:4" x14ac:dyDescent="0.3">
      <c r="D12420" s="4"/>
    </row>
    <row r="13529" spans="4:5" x14ac:dyDescent="0.3">
      <c r="E13529" s="4"/>
    </row>
    <row r="13533" spans="4:5" x14ac:dyDescent="0.3">
      <c r="E13533" s="4"/>
    </row>
    <row r="13534" spans="4:5" x14ac:dyDescent="0.3">
      <c r="D13534" s="4"/>
    </row>
    <row r="13538" spans="4:4" x14ac:dyDescent="0.3">
      <c r="D13538" s="4"/>
    </row>
    <row r="13903" spans="5:5" x14ac:dyDescent="0.3">
      <c r="E13903" s="4"/>
    </row>
    <row r="13908" spans="4:4" x14ac:dyDescent="0.3">
      <c r="D13908" s="4"/>
    </row>
    <row r="16900" spans="4:5" x14ac:dyDescent="0.3">
      <c r="E16900" s="4"/>
    </row>
    <row r="16905" spans="4:5" x14ac:dyDescent="0.3">
      <c r="D16905" s="4"/>
    </row>
    <row r="16909" spans="4:5" x14ac:dyDescent="0.3">
      <c r="E16909" s="4"/>
    </row>
    <row r="16914" spans="4:4" x14ac:dyDescent="0.3">
      <c r="D16914" s="4"/>
    </row>
    <row r="17230" spans="5:5" x14ac:dyDescent="0.3">
      <c r="E17230" s="4"/>
    </row>
    <row r="17235" spans="4:4" x14ac:dyDescent="0.3">
      <c r="D17235" s="4"/>
    </row>
    <row r="17254" spans="4:5" x14ac:dyDescent="0.3">
      <c r="E17254" s="4"/>
    </row>
    <row r="17259" spans="4:5" x14ac:dyDescent="0.3">
      <c r="D17259" s="4"/>
      <c r="E17259" s="4"/>
    </row>
    <row r="17264" spans="4:5" x14ac:dyDescent="0.3">
      <c r="D17264" s="4"/>
    </row>
    <row r="17672" spans="4:5" x14ac:dyDescent="0.3">
      <c r="E17672" s="4"/>
    </row>
    <row r="17677" spans="4:5" x14ac:dyDescent="0.3">
      <c r="D17677" s="4"/>
    </row>
    <row r="17688" spans="4:5" x14ac:dyDescent="0.3">
      <c r="E17688" s="4"/>
    </row>
    <row r="17693" spans="4:5" x14ac:dyDescent="0.3">
      <c r="D17693" s="4"/>
    </row>
    <row r="19340" spans="5:5" x14ac:dyDescent="0.3">
      <c r="E19340" s="4"/>
    </row>
    <row r="19345" spans="4:4" x14ac:dyDescent="0.3">
      <c r="D19345" s="4"/>
    </row>
    <row r="21111" spans="4:5" x14ac:dyDescent="0.3">
      <c r="E21111" s="4"/>
    </row>
    <row r="21112" spans="4:5" x14ac:dyDescent="0.3">
      <c r="E21112" s="4"/>
    </row>
    <row r="21113" spans="4:5" x14ac:dyDescent="0.3">
      <c r="E21113" s="4"/>
    </row>
    <row r="21114" spans="4:5" x14ac:dyDescent="0.3">
      <c r="E21114" s="4"/>
    </row>
    <row r="21116" spans="4:5" x14ac:dyDescent="0.3">
      <c r="D21116" s="4"/>
      <c r="E21116" s="4"/>
    </row>
    <row r="21117" spans="4:5" x14ac:dyDescent="0.3">
      <c r="D21117" s="4"/>
    </row>
    <row r="21118" spans="4:5" x14ac:dyDescent="0.3">
      <c r="D21118" s="4"/>
    </row>
    <row r="21119" spans="4:5" x14ac:dyDescent="0.3">
      <c r="D21119" s="4"/>
    </row>
    <row r="21121" spans="4:4" x14ac:dyDescent="0.3">
      <c r="D21121" s="4"/>
    </row>
    <row r="21207" spans="4:5" x14ac:dyDescent="0.3">
      <c r="E21207" s="4"/>
    </row>
    <row r="21209" spans="4:5" x14ac:dyDescent="0.3">
      <c r="E21209" s="4"/>
    </row>
    <row r="21210" spans="4:5" x14ac:dyDescent="0.3">
      <c r="E21210" s="4"/>
    </row>
    <row r="21211" spans="4:5" x14ac:dyDescent="0.3">
      <c r="E21211" s="4"/>
    </row>
    <row r="21212" spans="4:5" x14ac:dyDescent="0.3">
      <c r="D21212" s="4"/>
      <c r="E21212" s="4"/>
    </row>
    <row r="21214" spans="4:5" x14ac:dyDescent="0.3">
      <c r="D21214" s="4"/>
    </row>
    <row r="21215" spans="4:5" x14ac:dyDescent="0.3">
      <c r="D21215" s="4"/>
    </row>
    <row r="21216" spans="4:5" x14ac:dyDescent="0.3">
      <c r="D21216" s="4"/>
    </row>
    <row r="21217" spans="4:4" x14ac:dyDescent="0.3">
      <c r="D21217" s="4"/>
    </row>
    <row r="21653" spans="4:5" x14ac:dyDescent="0.3">
      <c r="E21653" s="4"/>
    </row>
    <row r="21658" spans="4:5" x14ac:dyDescent="0.3">
      <c r="D21658" s="4"/>
    </row>
    <row r="21691" spans="4:5" x14ac:dyDescent="0.3">
      <c r="E21691" s="4"/>
    </row>
    <row r="21696" spans="4:5" x14ac:dyDescent="0.3">
      <c r="D21696" s="4"/>
    </row>
    <row r="21698" spans="4:5" x14ac:dyDescent="0.3">
      <c r="E21698" s="4"/>
    </row>
    <row r="21703" spans="4:5" x14ac:dyDescent="0.3">
      <c r="D21703" s="4"/>
    </row>
    <row r="22386" spans="4:5" x14ac:dyDescent="0.3">
      <c r="E22386" s="4"/>
    </row>
    <row r="22391" spans="4:5" x14ac:dyDescent="0.3">
      <c r="D22391" s="4"/>
    </row>
    <row r="22394" spans="4:5" x14ac:dyDescent="0.3">
      <c r="E22394" s="4"/>
    </row>
    <row r="22395" spans="4:5" x14ac:dyDescent="0.3">
      <c r="E22395" s="4"/>
    </row>
    <row r="22396" spans="4:5" x14ac:dyDescent="0.3">
      <c r="E22396" s="4"/>
    </row>
    <row r="22399" spans="4:5" x14ac:dyDescent="0.3">
      <c r="D22399" s="4"/>
    </row>
    <row r="22400" spans="4:5" x14ac:dyDescent="0.3">
      <c r="D22400" s="4"/>
    </row>
    <row r="22401" spans="4:4" x14ac:dyDescent="0.3">
      <c r="D22401" s="4"/>
    </row>
    <row r="22505" spans="4:5" x14ac:dyDescent="0.3">
      <c r="E22505" s="4"/>
    </row>
    <row r="22510" spans="4:5" x14ac:dyDescent="0.3">
      <c r="D22510" s="4"/>
    </row>
    <row r="22689" spans="4:5" x14ac:dyDescent="0.3">
      <c r="E22689" s="4"/>
    </row>
    <row r="22694" spans="4:5" x14ac:dyDescent="0.3">
      <c r="D22694" s="4"/>
    </row>
    <row r="23048" spans="4:5" x14ac:dyDescent="0.3">
      <c r="E23048" s="4"/>
    </row>
    <row r="23053" spans="4:5" x14ac:dyDescent="0.3">
      <c r="D23053" s="4"/>
    </row>
    <row r="23058" spans="4:5" x14ac:dyDescent="0.3">
      <c r="E23058" s="4"/>
    </row>
    <row r="23063" spans="4:5" x14ac:dyDescent="0.3">
      <c r="D23063" s="4"/>
    </row>
    <row r="23552" spans="5:5" x14ac:dyDescent="0.3">
      <c r="E23552" s="4"/>
    </row>
    <row r="23554" spans="4:5" x14ac:dyDescent="0.3">
      <c r="E23554" s="4"/>
    </row>
    <row r="23555" spans="4:5" x14ac:dyDescent="0.3">
      <c r="E23555" s="4"/>
    </row>
    <row r="23556" spans="4:5" x14ac:dyDescent="0.3">
      <c r="E23556" s="4"/>
    </row>
    <row r="23557" spans="4:5" x14ac:dyDescent="0.3">
      <c r="D23557" s="4"/>
    </row>
    <row r="23559" spans="4:5" x14ac:dyDescent="0.3">
      <c r="D23559" s="4"/>
    </row>
    <row r="23560" spans="4:5" x14ac:dyDescent="0.3">
      <c r="D23560" s="4"/>
    </row>
    <row r="23561" spans="4:5" x14ac:dyDescent="0.3">
      <c r="D23561" s="4"/>
    </row>
    <row r="23940" spans="4:5" x14ac:dyDescent="0.3">
      <c r="E23940" s="4"/>
    </row>
    <row r="23942" spans="4:5" x14ac:dyDescent="0.3">
      <c r="E23942" s="4"/>
    </row>
    <row r="23945" spans="4:5" x14ac:dyDescent="0.3">
      <c r="D23945" s="4"/>
    </row>
    <row r="23947" spans="4:5" x14ac:dyDescent="0.3">
      <c r="D23947" s="4"/>
    </row>
  </sheetData>
  <sortState xmlns:xlrd2="http://schemas.microsoft.com/office/spreadsheetml/2017/richdata2" ref="B15:E22">
    <sortCondition ref="B15:B22"/>
    <sortCondition ref="C15:C22"/>
  </sortState>
  <mergeCells count="37">
    <mergeCell ref="F4:F5"/>
    <mergeCell ref="E4:E5"/>
    <mergeCell ref="L13:P13"/>
    <mergeCell ref="Q13:U13"/>
    <mergeCell ref="V13:Z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U3" sqref="AU3"/>
    </sheetView>
  </sheetViews>
  <sheetFormatPr defaultRowHeight="14.5" outlineLevelCol="1" x14ac:dyDescent="0.35"/>
  <cols>
    <col min="1" max="1" width="1.26953125" customWidth="1"/>
    <col min="2" max="2" width="15.7265625" style="12" bestFit="1" customWidth="1"/>
    <col min="3" max="3" width="10.269531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164062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164062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164062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1640625" style="9" hidden="1" customWidth="1" outlineLevel="1"/>
    <col min="17" max="17" width="13.453125" style="9" hidden="1" customWidth="1" outlineLevel="1"/>
    <col min="18" max="18" width="9.26953125" style="9" hidden="1" customWidth="1" outlineLevel="1" collapsed="1"/>
    <col min="19" max="19" width="9.81640625" style="9" hidden="1" customWidth="1" outlineLevel="1"/>
    <col min="20" max="20" width="11.453125" style="9" hidden="1" customWidth="1" outlineLevel="1"/>
    <col min="21" max="21" width="9" style="9" hidden="1" customWidth="1" outlineLevel="1" collapsed="1"/>
    <col min="22" max="22" width="11.26953125" style="9" hidden="1" customWidth="1" outlineLevel="1"/>
    <col min="23" max="23" width="12.26953125" style="9" hidden="1" customWidth="1" outlineLevel="1"/>
    <col min="24" max="24" width="9" style="9" hidden="1" customWidth="1" outlineLevel="1"/>
    <col min="25" max="25" width="10.453125" style="9" hidden="1" customWidth="1" outlineLevel="1"/>
    <col min="26" max="26" width="9.54296875" style="9" hidden="1" customWidth="1" outlineLevel="1"/>
    <col min="27" max="27" width="9" style="9" hidden="1" customWidth="1" outlineLevel="1"/>
    <col min="28" max="28" width="10.453125" style="9" hidden="1" customWidth="1" outlineLevel="1"/>
    <col min="29" max="29" width="9" style="9" hidden="1" customWidth="1" outlineLevel="1"/>
    <col min="30" max="30" width="9.26953125" style="9" hidden="1" customWidth="1" outlineLevel="1" collapsed="1"/>
    <col min="31" max="31" width="10.26953125" style="9" hidden="1" customWidth="1" outlineLevel="1"/>
    <col min="32" max="32" width="10.7265625" style="9" hidden="1" customWidth="1" outlineLevel="1"/>
    <col min="33" max="33" width="9.54296875" style="9" hidden="1" customWidth="1" outlineLevel="1" collapsed="1"/>
    <col min="34" max="34" width="10.453125" style="9" hidden="1" customWidth="1" outlineLevel="1"/>
    <col min="35" max="35" width="9.54296875" style="9" hidden="1" customWidth="1" outlineLevel="1"/>
    <col min="36" max="36" width="9.54296875" style="9" hidden="1" customWidth="1" outlineLevel="1" collapsed="1"/>
    <col min="37" max="37" width="10.7265625" style="9" hidden="1" customWidth="1" outlineLevel="1"/>
    <col min="38" max="39" width="9.54296875" style="9" hidden="1" customWidth="1" outlineLevel="1"/>
    <col min="40" max="40" width="10.7265625" style="9" hidden="1" customWidth="1" outlineLevel="1"/>
    <col min="41" max="41" width="9.54296875" style="9" hidden="1" customWidth="1" outlineLevel="1"/>
    <col min="42" max="42" width="11.453125" style="9" customWidth="1" collapsed="1"/>
    <col min="43" max="44" width="11.453125" style="9" customWidth="1"/>
    <col min="45" max="45" width="9.54296875" style="9" customWidth="1" collapsed="1"/>
    <col min="46" max="46" width="11.7265625" style="9" customWidth="1"/>
    <col min="47" max="47" width="9.54296875" style="9" customWidth="1"/>
    <col min="48" max="48" width="9.54296875" style="9" customWidth="1" collapsed="1"/>
    <col min="49" max="49" width="11.26953125" style="9" customWidth="1"/>
    <col min="50" max="51" width="9.54296875" style="9" customWidth="1"/>
    <col min="52" max="52" width="12" style="9" customWidth="1"/>
    <col min="53" max="53" width="9.54296875" style="9" customWidth="1"/>
  </cols>
  <sheetData>
    <row r="1" spans="2:53" ht="13.9" customHeight="1" x14ac:dyDescent="0.3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3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4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0</v>
      </c>
      <c r="AR3" s="104">
        <f>Cliente!CB2</f>
        <v>59.431709013914087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0</v>
      </c>
      <c r="BA3" s="104">
        <f>Cliente!DD2</f>
        <v>0</v>
      </c>
    </row>
    <row r="4" spans="2:53" ht="24" customHeight="1" thickBot="1" x14ac:dyDescent="0.4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3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3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0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0</v>
      </c>
      <c r="BA6" s="105">
        <f>IFERROR(AVERAGEIFS(Cliente!$DD:$DD,Cliente!$K:$K,Rede!$E6,Cliente!$DD:$DD,"&gt;0"),0)</f>
        <v>0</v>
      </c>
    </row>
    <row r="7" spans="2:53" x14ac:dyDescent="0.3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0</v>
      </c>
      <c r="AR7" s="105">
        <f t="shared" ref="AR7:AR19" si="1">IFERROR(AVERAGE(AU7,AX7,BA7),"")</f>
        <v>55.477222222222224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0</v>
      </c>
      <c r="BA7" s="105">
        <f>IFERROR(AVERAGEIFS(Cliente!$DD:$DD,Cliente!$K:$K,Rede!$E7,Cliente!$DD:$DD,"&gt;0"),0)</f>
        <v>0</v>
      </c>
    </row>
    <row r="8" spans="2:53" x14ac:dyDescent="0.3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0</v>
      </c>
      <c r="AR8" s="105">
        <f t="shared" si="1"/>
        <v>61.257833333333338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0</v>
      </c>
      <c r="BA8" s="105">
        <f>IFERROR(AVERAGEIFS(Cliente!$DD:$DD,Cliente!$K:$K,Rede!$E8,Cliente!$DD:$DD,"&gt;0"),0)</f>
        <v>0</v>
      </c>
    </row>
    <row r="9" spans="2:53" x14ac:dyDescent="0.3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0</v>
      </c>
      <c r="AR9" s="105">
        <f t="shared" si="1"/>
        <v>54.041666666666664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0</v>
      </c>
      <c r="BA9" s="105">
        <f>IFERROR(AVERAGEIFS(Cliente!$DD:$DD,Cliente!$K:$K,Rede!$E9,Cliente!$DD:$DD,"&gt;0"),0)</f>
        <v>0</v>
      </c>
    </row>
    <row r="10" spans="2:53" x14ac:dyDescent="0.3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0</v>
      </c>
      <c r="AR10" s="105">
        <f t="shared" si="1"/>
        <v>57.9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0</v>
      </c>
      <c r="BA10" s="105">
        <f>IFERROR(AVERAGEIFS(Cliente!$DD:$DD,Cliente!$K:$K,Rede!$E10,Cliente!$DD:$DD,"&gt;0"),0)</f>
        <v>0</v>
      </c>
    </row>
    <row r="11" spans="2:53" x14ac:dyDescent="0.3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0</v>
      </c>
      <c r="AR11" s="105">
        <f t="shared" si="1"/>
        <v>62.733333333333327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0</v>
      </c>
      <c r="BA11" s="105">
        <f>IFERROR(AVERAGEIFS(Cliente!$DD:$DD,Cliente!$K:$K,Rede!$E11,Cliente!$DD:$DD,"&gt;0"),0)</f>
        <v>0</v>
      </c>
    </row>
    <row r="12" spans="2:53" x14ac:dyDescent="0.3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0</v>
      </c>
      <c r="AR12" s="105">
        <f t="shared" si="1"/>
        <v>60.400000000000006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0</v>
      </c>
      <c r="BA12" s="105">
        <f>IFERROR(AVERAGEIFS(Cliente!$DD:$DD,Cliente!$K:$K,Rede!$E12,Cliente!$DD:$DD,"&gt;0"),0)</f>
        <v>0</v>
      </c>
    </row>
    <row r="13" spans="2:53" x14ac:dyDescent="0.3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3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0</v>
      </c>
      <c r="AR14" s="105">
        <f t="shared" si="1"/>
        <v>44.910277777777786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0</v>
      </c>
      <c r="BA14" s="105">
        <f>IFERROR(AVERAGEIFS(Cliente!$DD:$DD,Cliente!$K:$K,Rede!$E14,Cliente!$DD:$DD,"&gt;0"),0)</f>
        <v>0</v>
      </c>
    </row>
    <row r="15" spans="2:53" x14ac:dyDescent="0.3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0</v>
      </c>
      <c r="AR15" s="105">
        <f t="shared" si="1"/>
        <v>64.2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0</v>
      </c>
      <c r="BA15" s="105">
        <f>IFERROR(AVERAGEIFS(Cliente!$DD:$DD,Cliente!$K:$K,Rede!$E15,Cliente!$DD:$DD,"&gt;0"),0)</f>
        <v>0</v>
      </c>
    </row>
    <row r="16" spans="2:53" x14ac:dyDescent="0.3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0</v>
      </c>
      <c r="AR16" s="105">
        <f t="shared" si="1"/>
        <v>58.07500000000001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0</v>
      </c>
      <c r="BA16" s="105">
        <f>IFERROR(AVERAGEIFS(Cliente!$DD:$DD,Cliente!$K:$K,Rede!$E16,Cliente!$DD:$DD,"&gt;0"),0)</f>
        <v>0</v>
      </c>
    </row>
    <row r="17" spans="2:53" x14ac:dyDescent="0.3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0</v>
      </c>
      <c r="AR17" s="105">
        <f t="shared" ref="AR17" si="7">IFERROR(AVERAGE(AU17,AX17,BA17),"")</f>
        <v>60.008333333333333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0</v>
      </c>
      <c r="BA17" s="105">
        <f>IFERROR(AVERAGEIFS(Cliente!$DD:$DD,Cliente!$K:$K,Rede!$E17,Cliente!$DD:$DD,"&gt;0"),0)</f>
        <v>0</v>
      </c>
    </row>
    <row r="18" spans="2:53" x14ac:dyDescent="0.3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0</v>
      </c>
      <c r="AR18" s="105">
        <f t="shared" si="1"/>
        <v>63.103469696969704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0</v>
      </c>
      <c r="BA18" s="105">
        <f>IFERROR(AVERAGEIFS(Cliente!$DD:$DD,Cliente!$K:$K,Rede!$E18,Cliente!$DD:$DD,"&gt;0"),0)</f>
        <v>0</v>
      </c>
    </row>
    <row r="19" spans="2:53" ht="15" thickBot="1" x14ac:dyDescent="0.4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0</v>
      </c>
      <c r="AR19" s="106">
        <f t="shared" si="1"/>
        <v>65.066666666666663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0</v>
      </c>
      <c r="BA19" s="106">
        <f>IFERROR(AVERAGEIFS(Cliente!$DD:$DD,Cliente!$K:$K,Rede!$E19,Cliente!$DD:$DD,"&gt;0"),0)</f>
        <v>0</v>
      </c>
    </row>
    <row r="20" spans="2:53" x14ac:dyDescent="0.35">
      <c r="AI20" s="109"/>
    </row>
    <row r="23" spans="2:53" x14ac:dyDescent="0.35">
      <c r="C23"/>
      <c r="D23"/>
      <c r="E23"/>
      <c r="F23"/>
      <c r="AV23"/>
      <c r="AW23"/>
      <c r="AX23"/>
      <c r="AY23"/>
      <c r="AZ23"/>
      <c r="BA23"/>
    </row>
    <row r="24" spans="2:53" x14ac:dyDescent="0.35">
      <c r="C24"/>
      <c r="D24"/>
      <c r="E24"/>
      <c r="F24"/>
      <c r="AV24"/>
      <c r="AW24"/>
      <c r="AX24"/>
      <c r="AY24"/>
      <c r="AZ24"/>
      <c r="BA24"/>
    </row>
    <row r="25" spans="2:53" x14ac:dyDescent="0.35">
      <c r="C25"/>
      <c r="D25"/>
      <c r="E25"/>
      <c r="F25"/>
      <c r="AV25"/>
      <c r="AW25"/>
      <c r="AX25"/>
      <c r="AY25"/>
      <c r="AZ25"/>
      <c r="BA25"/>
    </row>
    <row r="26" spans="2:53" x14ac:dyDescent="0.35">
      <c r="C26"/>
      <c r="D26"/>
      <c r="E26"/>
      <c r="F26"/>
      <c r="AV26"/>
      <c r="AW26"/>
      <c r="AX26"/>
      <c r="AY26"/>
      <c r="AZ26"/>
      <c r="BA26"/>
    </row>
    <row r="27" spans="2:53" x14ac:dyDescent="0.35">
      <c r="C27"/>
      <c r="D27"/>
      <c r="E27"/>
      <c r="F27"/>
      <c r="AV27"/>
      <c r="AW27"/>
      <c r="AX27"/>
      <c r="AY27"/>
      <c r="AZ27"/>
      <c r="BA27"/>
    </row>
    <row r="28" spans="2:53" x14ac:dyDescent="0.35">
      <c r="C28"/>
      <c r="D28"/>
      <c r="E28"/>
      <c r="F28"/>
      <c r="AV28"/>
      <c r="AW28"/>
      <c r="AX28"/>
      <c r="AY28"/>
      <c r="AZ28"/>
      <c r="BA28"/>
    </row>
    <row r="29" spans="2:53" x14ac:dyDescent="0.35">
      <c r="C29"/>
      <c r="D29"/>
      <c r="E29"/>
      <c r="F29"/>
      <c r="AV29"/>
      <c r="AW29"/>
      <c r="AX29"/>
      <c r="AY29"/>
      <c r="AZ29"/>
      <c r="BA29"/>
    </row>
    <row r="30" spans="2:53" x14ac:dyDescent="0.35">
      <c r="C30"/>
      <c r="D30"/>
      <c r="E30"/>
      <c r="F30"/>
      <c r="AV30"/>
      <c r="AW30"/>
      <c r="AX30"/>
      <c r="AY30"/>
      <c r="AZ30"/>
      <c r="BA30"/>
    </row>
    <row r="31" spans="2:53" x14ac:dyDescent="0.35">
      <c r="C31"/>
      <c r="D31"/>
      <c r="E31"/>
      <c r="F31"/>
      <c r="AV31"/>
      <c r="AW31"/>
      <c r="AX31"/>
      <c r="AY31"/>
      <c r="AZ31"/>
      <c r="BA31"/>
    </row>
    <row r="32" spans="2:53" x14ac:dyDescent="0.35">
      <c r="C32"/>
      <c r="D32"/>
      <c r="E32"/>
      <c r="F32"/>
      <c r="AV32"/>
      <c r="AW32"/>
      <c r="AX32"/>
      <c r="AY32"/>
      <c r="AZ32"/>
      <c r="BA32"/>
    </row>
    <row r="33" spans="3:53" x14ac:dyDescent="0.35">
      <c r="C33"/>
      <c r="D33"/>
      <c r="E33"/>
      <c r="F33"/>
      <c r="AV33"/>
      <c r="AW33"/>
      <c r="AX33"/>
      <c r="AY33"/>
      <c r="AZ33"/>
      <c r="BA33"/>
    </row>
    <row r="34" spans="3:53" x14ac:dyDescent="0.35">
      <c r="C34"/>
      <c r="D34"/>
      <c r="E34"/>
      <c r="F34"/>
      <c r="AV34"/>
      <c r="AW34"/>
      <c r="AX34"/>
      <c r="AY34"/>
      <c r="AZ34"/>
      <c r="BA34"/>
    </row>
    <row r="35" spans="3:53" x14ac:dyDescent="0.35">
      <c r="C35"/>
      <c r="D35"/>
      <c r="E35"/>
      <c r="F35"/>
      <c r="AV35"/>
      <c r="AW35"/>
      <c r="AX35"/>
      <c r="AY35"/>
      <c r="AZ35"/>
      <c r="BA35"/>
    </row>
    <row r="36" spans="3:53" x14ac:dyDescent="0.35">
      <c r="C36"/>
      <c r="D36"/>
      <c r="E36"/>
      <c r="F36"/>
      <c r="AV36"/>
      <c r="AW36"/>
      <c r="AX36"/>
      <c r="AY36"/>
      <c r="AZ36"/>
      <c r="BA36"/>
    </row>
    <row r="37" spans="3:53" x14ac:dyDescent="0.35">
      <c r="C37"/>
      <c r="D37"/>
      <c r="E37"/>
      <c r="F37"/>
      <c r="AV37"/>
      <c r="AW37"/>
      <c r="AX37"/>
      <c r="AY37"/>
      <c r="AZ37"/>
      <c r="BA37"/>
    </row>
    <row r="38" spans="3:53" x14ac:dyDescent="0.35">
      <c r="C38"/>
      <c r="D38"/>
      <c r="E38"/>
      <c r="F38"/>
      <c r="AV38"/>
      <c r="AW38"/>
      <c r="AX38"/>
      <c r="AY38"/>
      <c r="AZ38"/>
      <c r="BA38"/>
    </row>
    <row r="39" spans="3:53" x14ac:dyDescent="0.35">
      <c r="C39"/>
      <c r="D39"/>
      <c r="E39"/>
      <c r="F39"/>
      <c r="AV39"/>
      <c r="AW39"/>
      <c r="AX39"/>
      <c r="AY39"/>
      <c r="AZ39"/>
      <c r="BA39"/>
    </row>
    <row r="40" spans="3:53" x14ac:dyDescent="0.35">
      <c r="C40"/>
      <c r="D40"/>
      <c r="E40"/>
      <c r="F40"/>
      <c r="AV40"/>
      <c r="AW40"/>
      <c r="AX40"/>
      <c r="AY40"/>
      <c r="AZ40"/>
      <c r="BA40"/>
    </row>
    <row r="41" spans="3:53" x14ac:dyDescent="0.35">
      <c r="C41"/>
      <c r="D41"/>
      <c r="E41"/>
      <c r="F41"/>
      <c r="AV41"/>
      <c r="AW41"/>
      <c r="AX41"/>
      <c r="AY41"/>
      <c r="AZ41"/>
      <c r="BA41"/>
    </row>
    <row r="42" spans="3:53" x14ac:dyDescent="0.35">
      <c r="C42"/>
      <c r="D42"/>
      <c r="E42"/>
      <c r="F42"/>
      <c r="AV42"/>
      <c r="AW42"/>
      <c r="AX42"/>
      <c r="AY42"/>
      <c r="AZ42"/>
      <c r="BA42"/>
    </row>
    <row r="43" spans="3:53" x14ac:dyDescent="0.35">
      <c r="C43"/>
      <c r="D43"/>
      <c r="E43"/>
      <c r="F43"/>
      <c r="AV43"/>
      <c r="AW43"/>
      <c r="AX43"/>
      <c r="AY43"/>
      <c r="AZ43"/>
      <c r="BA43"/>
    </row>
    <row r="44" spans="3:53" x14ac:dyDescent="0.35">
      <c r="C44"/>
      <c r="D44"/>
      <c r="E44"/>
      <c r="F44"/>
      <c r="AV44"/>
      <c r="AW44"/>
      <c r="AX44"/>
      <c r="AY44"/>
      <c r="AZ44"/>
      <c r="BA44"/>
    </row>
    <row r="45" spans="3:53" x14ac:dyDescent="0.35">
      <c r="C45"/>
      <c r="D45"/>
      <c r="E45"/>
      <c r="F45"/>
      <c r="AV45"/>
      <c r="AW45"/>
      <c r="AX45"/>
      <c r="AY45"/>
      <c r="AZ45"/>
      <c r="BA45"/>
    </row>
    <row r="46" spans="3:53" x14ac:dyDescent="0.35">
      <c r="C46"/>
      <c r="D46"/>
      <c r="E46"/>
      <c r="F46"/>
      <c r="AV46"/>
      <c r="AW46"/>
      <c r="AX46"/>
      <c r="AY46"/>
      <c r="AZ46"/>
      <c r="BA46"/>
    </row>
    <row r="47" spans="3:53" x14ac:dyDescent="0.35">
      <c r="C47"/>
      <c r="D47"/>
      <c r="E47"/>
      <c r="F47"/>
      <c r="AV47"/>
      <c r="AW47"/>
      <c r="AX47"/>
      <c r="AY47"/>
      <c r="AZ47"/>
      <c r="BA47"/>
    </row>
    <row r="48" spans="3:53" x14ac:dyDescent="0.35">
      <c r="C48"/>
      <c r="D48"/>
      <c r="E48"/>
      <c r="F48"/>
      <c r="AV48"/>
      <c r="AW48"/>
      <c r="AX48"/>
      <c r="AY48"/>
      <c r="AZ48"/>
      <c r="BA48"/>
    </row>
    <row r="49" spans="3:53" x14ac:dyDescent="0.35">
      <c r="C49"/>
      <c r="D49"/>
      <c r="E49"/>
      <c r="F49"/>
      <c r="AV49"/>
      <c r="AW49"/>
      <c r="AX49"/>
      <c r="AY49"/>
      <c r="AZ49"/>
      <c r="BA49"/>
    </row>
    <row r="50" spans="3:53" x14ac:dyDescent="0.35">
      <c r="C50"/>
      <c r="D50"/>
      <c r="E50"/>
      <c r="F50"/>
      <c r="AV50"/>
      <c r="AW50"/>
      <c r="AX50"/>
      <c r="AY50"/>
      <c r="AZ50"/>
      <c r="BA50"/>
    </row>
    <row r="51" spans="3:53" x14ac:dyDescent="0.35">
      <c r="C51"/>
      <c r="D51"/>
      <c r="E51"/>
      <c r="F51"/>
      <c r="AV51"/>
      <c r="AW51"/>
      <c r="AX51"/>
      <c r="AY51"/>
      <c r="AZ51"/>
      <c r="BA51"/>
    </row>
    <row r="52" spans="3:53" x14ac:dyDescent="0.35">
      <c r="C52"/>
      <c r="D52"/>
      <c r="E52"/>
      <c r="F52"/>
      <c r="AV52"/>
      <c r="AW52"/>
      <c r="AX52"/>
      <c r="AY52"/>
      <c r="AZ52"/>
      <c r="BA52"/>
    </row>
    <row r="53" spans="3:53" x14ac:dyDescent="0.35">
      <c r="C53"/>
      <c r="D53"/>
      <c r="E53"/>
      <c r="F53"/>
      <c r="AV53"/>
      <c r="AW53"/>
      <c r="AX53"/>
      <c r="AY53"/>
      <c r="AZ53"/>
      <c r="BA53"/>
    </row>
    <row r="54" spans="3:53" x14ac:dyDescent="0.35">
      <c r="C54"/>
      <c r="D54"/>
      <c r="E54"/>
      <c r="F54"/>
      <c r="AV54"/>
      <c r="AW54"/>
      <c r="AX54"/>
      <c r="AY54"/>
      <c r="AZ54"/>
      <c r="BA54"/>
    </row>
    <row r="55" spans="3:53" x14ac:dyDescent="0.35">
      <c r="C55"/>
      <c r="D55"/>
      <c r="E55"/>
      <c r="F55"/>
      <c r="AV55"/>
      <c r="AW55"/>
      <c r="AX55"/>
      <c r="AY55"/>
      <c r="AZ55"/>
      <c r="BA55"/>
    </row>
    <row r="56" spans="3:53" x14ac:dyDescent="0.35">
      <c r="C56"/>
      <c r="D56"/>
      <c r="E56"/>
      <c r="F56"/>
      <c r="AV56"/>
      <c r="AW56"/>
      <c r="AX56"/>
      <c r="AY56"/>
      <c r="AZ56"/>
      <c r="BA56"/>
    </row>
    <row r="57" spans="3:53" x14ac:dyDescent="0.35">
      <c r="C57"/>
      <c r="D57"/>
      <c r="E57"/>
      <c r="F57"/>
      <c r="AV57"/>
      <c r="AW57"/>
      <c r="AX57"/>
      <c r="AY57"/>
      <c r="AZ57"/>
      <c r="BA57"/>
    </row>
    <row r="58" spans="3:53" x14ac:dyDescent="0.35">
      <c r="C58"/>
      <c r="D58"/>
      <c r="E58"/>
      <c r="F58"/>
      <c r="AV58"/>
      <c r="AW58"/>
      <c r="AX58"/>
      <c r="AY58"/>
      <c r="AZ58"/>
      <c r="BA58"/>
    </row>
    <row r="59" spans="3:53" x14ac:dyDescent="0.35">
      <c r="C59"/>
      <c r="D59"/>
      <c r="E59"/>
      <c r="F59"/>
      <c r="AV59"/>
      <c r="AW59"/>
      <c r="AX59"/>
      <c r="AY59"/>
      <c r="AZ59"/>
      <c r="BA59"/>
    </row>
    <row r="60" spans="3:53" x14ac:dyDescent="0.35">
      <c r="C60"/>
      <c r="D60"/>
      <c r="E60"/>
      <c r="F60"/>
      <c r="AV60"/>
      <c r="AW60"/>
      <c r="AX60"/>
      <c r="AY60"/>
      <c r="AZ60"/>
      <c r="BA60"/>
    </row>
    <row r="61" spans="3:53" x14ac:dyDescent="0.35">
      <c r="C61"/>
      <c r="D61"/>
      <c r="E61"/>
      <c r="F61"/>
      <c r="AV61"/>
      <c r="AW61"/>
      <c r="AX61"/>
      <c r="AY61"/>
      <c r="AZ61"/>
      <c r="BA61"/>
    </row>
    <row r="62" spans="3:53" x14ac:dyDescent="0.35">
      <c r="C62"/>
      <c r="D62"/>
      <c r="E62"/>
      <c r="F62"/>
      <c r="AV62"/>
      <c r="AW62"/>
      <c r="AX62"/>
      <c r="AY62"/>
      <c r="AZ62"/>
      <c r="BA62"/>
    </row>
    <row r="63" spans="3:53" x14ac:dyDescent="0.35">
      <c r="C63"/>
      <c r="D63"/>
      <c r="E63"/>
      <c r="F63"/>
      <c r="AV63"/>
      <c r="AW63"/>
      <c r="AX63"/>
      <c r="AY63"/>
      <c r="AZ63"/>
      <c r="BA63"/>
    </row>
    <row r="64" spans="3:53" x14ac:dyDescent="0.35">
      <c r="C64"/>
      <c r="D64"/>
      <c r="E64"/>
      <c r="F64"/>
      <c r="AV64"/>
      <c r="AW64"/>
      <c r="AX64"/>
      <c r="AY64"/>
      <c r="AZ64"/>
      <c r="BA64"/>
    </row>
    <row r="65" spans="3:53" x14ac:dyDescent="0.35">
      <c r="C65"/>
      <c r="D65"/>
      <c r="E65"/>
      <c r="F65"/>
      <c r="AV65"/>
      <c r="AW65"/>
      <c r="AX65"/>
      <c r="AY65"/>
      <c r="AZ65"/>
      <c r="BA65"/>
    </row>
    <row r="66" spans="3:53" x14ac:dyDescent="0.35">
      <c r="C66"/>
      <c r="D66"/>
      <c r="E66"/>
      <c r="F66"/>
      <c r="AV66"/>
      <c r="AW66"/>
      <c r="AX66"/>
      <c r="AY66"/>
      <c r="AZ66"/>
      <c r="BA66"/>
    </row>
    <row r="67" spans="3:53" x14ac:dyDescent="0.35">
      <c r="C67"/>
      <c r="D67"/>
      <c r="E67"/>
      <c r="F67"/>
      <c r="AV67"/>
      <c r="AW67"/>
      <c r="AX67"/>
      <c r="AY67"/>
      <c r="AZ67"/>
      <c r="BA67"/>
    </row>
    <row r="68" spans="3:53" x14ac:dyDescent="0.35">
      <c r="C68"/>
      <c r="D68"/>
      <c r="E68"/>
      <c r="F68"/>
      <c r="AV68"/>
      <c r="AW68"/>
      <c r="AX68"/>
      <c r="AY68"/>
      <c r="AZ68"/>
      <c r="BA68"/>
    </row>
    <row r="69" spans="3:53" x14ac:dyDescent="0.35">
      <c r="C69"/>
      <c r="D69"/>
      <c r="E69"/>
      <c r="F69"/>
      <c r="AV69"/>
      <c r="AW69"/>
      <c r="AX69"/>
      <c r="AY69"/>
      <c r="AZ69"/>
      <c r="BA69"/>
    </row>
    <row r="70" spans="3:53" x14ac:dyDescent="0.35">
      <c r="C70"/>
      <c r="D70"/>
      <c r="E70"/>
      <c r="F70"/>
      <c r="AV70"/>
      <c r="AW70"/>
      <c r="AX70"/>
      <c r="AY70"/>
      <c r="AZ70"/>
      <c r="BA70"/>
    </row>
    <row r="71" spans="3:53" x14ac:dyDescent="0.35">
      <c r="C71"/>
      <c r="D71"/>
      <c r="E71"/>
      <c r="F71"/>
      <c r="AV71"/>
      <c r="AW71"/>
      <c r="AX71"/>
      <c r="AY71"/>
      <c r="AZ71"/>
      <c r="BA71"/>
    </row>
    <row r="72" spans="3:53" x14ac:dyDescent="0.35">
      <c r="C72"/>
      <c r="D72"/>
      <c r="E72"/>
      <c r="F72"/>
      <c r="AV72"/>
      <c r="AW72"/>
      <c r="AX72"/>
      <c r="AY72"/>
      <c r="AZ72"/>
      <c r="BA72"/>
    </row>
    <row r="73" spans="3:53" x14ac:dyDescent="0.35">
      <c r="C73"/>
      <c r="D73"/>
      <c r="E73"/>
      <c r="F73"/>
      <c r="AV73"/>
      <c r="AW73"/>
      <c r="AX73"/>
      <c r="AY73"/>
      <c r="AZ73"/>
      <c r="BA73"/>
    </row>
    <row r="74" spans="3:53" x14ac:dyDescent="0.35">
      <c r="C74"/>
      <c r="D74"/>
      <c r="E74"/>
      <c r="F74"/>
      <c r="AV74"/>
      <c r="AW74"/>
      <c r="AX74"/>
      <c r="AY74"/>
      <c r="AZ74"/>
      <c r="BA74"/>
    </row>
    <row r="75" spans="3:53" x14ac:dyDescent="0.35">
      <c r="C75"/>
      <c r="D75"/>
      <c r="E75"/>
      <c r="F75"/>
      <c r="AV75"/>
      <c r="AW75"/>
      <c r="AX75"/>
      <c r="AY75"/>
      <c r="AZ75"/>
      <c r="BA75"/>
    </row>
    <row r="76" spans="3:53" x14ac:dyDescent="0.35">
      <c r="C76"/>
      <c r="D76"/>
      <c r="E76"/>
      <c r="F76"/>
      <c r="AV76"/>
      <c r="AW76"/>
      <c r="AX76"/>
      <c r="AY76"/>
      <c r="AZ76"/>
      <c r="BA76"/>
    </row>
    <row r="77" spans="3:53" x14ac:dyDescent="0.35">
      <c r="C77"/>
      <c r="D77"/>
      <c r="E77"/>
      <c r="F77"/>
      <c r="AV77"/>
      <c r="AW77"/>
      <c r="AX77"/>
      <c r="AY77"/>
      <c r="AZ77"/>
      <c r="BA77"/>
    </row>
    <row r="78" spans="3:53" x14ac:dyDescent="0.35">
      <c r="C78"/>
      <c r="D78"/>
      <c r="E78"/>
      <c r="F78"/>
      <c r="AV78"/>
      <c r="AW78"/>
      <c r="AX78"/>
      <c r="AY78"/>
      <c r="AZ78"/>
      <c r="BA78"/>
    </row>
    <row r="79" spans="3:53" x14ac:dyDescent="0.35">
      <c r="C79"/>
      <c r="D79"/>
      <c r="E79"/>
      <c r="F79"/>
      <c r="AV79"/>
      <c r="AW79"/>
      <c r="AX79"/>
      <c r="AY79"/>
      <c r="AZ79"/>
      <c r="BA79"/>
    </row>
    <row r="80" spans="3:53" x14ac:dyDescent="0.35">
      <c r="C80"/>
      <c r="D80"/>
      <c r="E80"/>
      <c r="F80"/>
      <c r="AV80"/>
      <c r="AW80"/>
      <c r="AX80"/>
      <c r="AY80"/>
      <c r="AZ80"/>
      <c r="BA80"/>
    </row>
    <row r="81" spans="3:53" x14ac:dyDescent="0.35">
      <c r="C81"/>
      <c r="D81"/>
      <c r="E81"/>
      <c r="F81"/>
      <c r="AV81"/>
      <c r="AW81"/>
      <c r="AX81"/>
      <c r="AY81"/>
      <c r="AZ81"/>
      <c r="BA81"/>
    </row>
    <row r="82" spans="3:53" x14ac:dyDescent="0.35">
      <c r="C82"/>
      <c r="D82"/>
      <c r="E82"/>
      <c r="F82"/>
      <c r="AV82"/>
      <c r="AW82"/>
      <c r="AX82"/>
      <c r="AY82"/>
      <c r="AZ82"/>
      <c r="BA82"/>
    </row>
    <row r="83" spans="3:53" x14ac:dyDescent="0.35">
      <c r="C83"/>
      <c r="D83"/>
      <c r="E83"/>
      <c r="F83"/>
      <c r="AV83"/>
      <c r="AW83"/>
      <c r="AX83"/>
      <c r="AY83"/>
      <c r="AZ83"/>
      <c r="BA83"/>
    </row>
    <row r="84" spans="3:53" x14ac:dyDescent="0.35">
      <c r="C84"/>
      <c r="D84"/>
      <c r="E84"/>
      <c r="F84"/>
      <c r="AV84"/>
      <c r="AW84"/>
      <c r="AX84"/>
      <c r="AY84"/>
      <c r="AZ84"/>
      <c r="BA84"/>
    </row>
    <row r="85" spans="3:53" x14ac:dyDescent="0.35">
      <c r="C85"/>
      <c r="D85"/>
      <c r="E85"/>
      <c r="F85"/>
      <c r="AV85"/>
      <c r="AW85"/>
      <c r="AX85"/>
      <c r="AY85"/>
      <c r="AZ85"/>
      <c r="BA85"/>
    </row>
    <row r="86" spans="3:53" x14ac:dyDescent="0.35">
      <c r="C86"/>
      <c r="D86"/>
      <c r="E86"/>
      <c r="F86"/>
      <c r="AV86"/>
      <c r="AW86"/>
      <c r="AX86"/>
      <c r="AY86"/>
      <c r="AZ86"/>
      <c r="BA86"/>
    </row>
    <row r="87" spans="3:53" x14ac:dyDescent="0.35">
      <c r="C87"/>
      <c r="D87"/>
      <c r="E87"/>
      <c r="F87"/>
      <c r="AV87"/>
      <c r="AW87"/>
      <c r="AX87"/>
      <c r="AY87"/>
      <c r="AZ87"/>
      <c r="BA87"/>
    </row>
    <row r="88" spans="3:53" x14ac:dyDescent="0.35">
      <c r="C88"/>
      <c r="D88"/>
      <c r="E88"/>
      <c r="F88"/>
      <c r="AV88"/>
      <c r="AW88"/>
      <c r="AX88"/>
      <c r="AY88"/>
      <c r="AZ88"/>
      <c r="BA88"/>
    </row>
    <row r="89" spans="3:53" x14ac:dyDescent="0.35">
      <c r="C89"/>
      <c r="D89"/>
      <c r="E89"/>
      <c r="F89"/>
      <c r="AV89"/>
      <c r="AW89"/>
      <c r="AX89"/>
      <c r="AY89"/>
      <c r="AZ89"/>
      <c r="BA89"/>
    </row>
    <row r="90" spans="3:53" x14ac:dyDescent="0.35">
      <c r="C90"/>
      <c r="D90"/>
      <c r="E90"/>
      <c r="F90"/>
      <c r="AV90"/>
      <c r="AW90"/>
      <c r="AX90"/>
      <c r="AY90"/>
      <c r="AZ90"/>
      <c r="BA90"/>
    </row>
    <row r="91" spans="3:53" x14ac:dyDescent="0.35">
      <c r="C91"/>
      <c r="D91"/>
      <c r="E91"/>
      <c r="F91"/>
      <c r="AV91"/>
      <c r="AW91"/>
      <c r="AX91"/>
      <c r="AY91"/>
      <c r="AZ91"/>
      <c r="BA91"/>
    </row>
    <row r="92" spans="3:53" x14ac:dyDescent="0.35">
      <c r="C92"/>
      <c r="D92"/>
      <c r="E92"/>
      <c r="F92"/>
      <c r="AV92"/>
      <c r="AW92"/>
      <c r="AX92"/>
      <c r="AY92"/>
      <c r="AZ92"/>
      <c r="BA92"/>
    </row>
    <row r="93" spans="3:53" x14ac:dyDescent="0.35">
      <c r="C93"/>
      <c r="D93"/>
      <c r="E93"/>
      <c r="F93"/>
      <c r="AV93"/>
      <c r="AW93"/>
      <c r="AX93"/>
      <c r="AY93"/>
      <c r="AZ93"/>
      <c r="BA93"/>
    </row>
    <row r="94" spans="3:53" x14ac:dyDescent="0.35">
      <c r="C94"/>
      <c r="D94"/>
      <c r="E94"/>
      <c r="F94"/>
      <c r="AV94"/>
      <c r="AW94"/>
      <c r="AX94"/>
      <c r="AY94"/>
      <c r="AZ94"/>
      <c r="BA94"/>
    </row>
    <row r="95" spans="3:53" x14ac:dyDescent="0.35">
      <c r="C95"/>
      <c r="D95"/>
      <c r="E95"/>
      <c r="F95"/>
      <c r="AV95"/>
      <c r="AW95"/>
      <c r="AX95"/>
      <c r="AY95"/>
      <c r="AZ95"/>
      <c r="BA95"/>
    </row>
    <row r="96" spans="3:53" x14ac:dyDescent="0.35">
      <c r="C96"/>
      <c r="D96"/>
      <c r="E96"/>
      <c r="F96"/>
      <c r="AV96"/>
      <c r="AW96"/>
      <c r="AX96"/>
      <c r="AY96"/>
      <c r="AZ96"/>
      <c r="BA96"/>
    </row>
    <row r="97" spans="3:53" x14ac:dyDescent="0.35">
      <c r="C97"/>
      <c r="D97"/>
      <c r="E97"/>
      <c r="F97"/>
      <c r="AV97"/>
      <c r="AW97"/>
      <c r="AX97"/>
      <c r="AY97"/>
      <c r="AZ97"/>
      <c r="BA97"/>
    </row>
    <row r="98" spans="3:53" x14ac:dyDescent="0.35">
      <c r="C98"/>
      <c r="D98"/>
      <c r="E98"/>
      <c r="F98"/>
      <c r="AV98"/>
      <c r="AW98"/>
      <c r="AX98"/>
      <c r="AY98"/>
      <c r="AZ98"/>
      <c r="BA98"/>
    </row>
    <row r="99" spans="3:53" x14ac:dyDescent="0.35">
      <c r="C99"/>
      <c r="D99"/>
      <c r="E99"/>
      <c r="F99"/>
      <c r="AV99"/>
      <c r="AW99"/>
      <c r="AX99"/>
      <c r="AY99"/>
      <c r="AZ99"/>
      <c r="BA99"/>
    </row>
    <row r="100" spans="3:53" x14ac:dyDescent="0.35">
      <c r="C100"/>
      <c r="D100"/>
      <c r="E100"/>
      <c r="F100"/>
      <c r="AV100"/>
      <c r="AW100"/>
      <c r="AX100"/>
      <c r="AY100"/>
      <c r="AZ100"/>
      <c r="BA100"/>
    </row>
    <row r="101" spans="3:53" x14ac:dyDescent="0.35">
      <c r="C101"/>
      <c r="D101"/>
      <c r="E101"/>
      <c r="F101"/>
      <c r="AV101"/>
      <c r="AW101"/>
      <c r="AX101"/>
      <c r="AY101"/>
      <c r="AZ101"/>
      <c r="BA101"/>
    </row>
    <row r="102" spans="3:53" x14ac:dyDescent="0.35">
      <c r="C102"/>
      <c r="D102"/>
      <c r="E102"/>
      <c r="F102"/>
      <c r="AV102"/>
      <c r="AW102"/>
      <c r="AX102"/>
      <c r="AY102"/>
      <c r="AZ102"/>
      <c r="BA102"/>
    </row>
    <row r="103" spans="3:53" x14ac:dyDescent="0.35">
      <c r="C103"/>
      <c r="D103"/>
      <c r="E103"/>
      <c r="F103"/>
      <c r="AV103"/>
      <c r="AW103"/>
      <c r="AX103"/>
      <c r="AY103"/>
      <c r="AZ103"/>
      <c r="BA103"/>
    </row>
    <row r="104" spans="3:53" x14ac:dyDescent="0.35">
      <c r="C104"/>
      <c r="D104"/>
      <c r="E104"/>
      <c r="F104"/>
      <c r="AV104"/>
      <c r="AW104"/>
      <c r="AX104"/>
      <c r="AY104"/>
      <c r="AZ104"/>
      <c r="BA104"/>
    </row>
    <row r="105" spans="3:53" x14ac:dyDescent="0.35">
      <c r="C105"/>
      <c r="D105"/>
      <c r="E105"/>
      <c r="F105"/>
      <c r="AV105"/>
      <c r="AW105"/>
      <c r="AX105"/>
      <c r="AY105"/>
      <c r="AZ105"/>
      <c r="BA105"/>
    </row>
    <row r="106" spans="3:53" x14ac:dyDescent="0.35">
      <c r="C106"/>
      <c r="D106"/>
      <c r="E106"/>
      <c r="F106"/>
      <c r="AV106"/>
      <c r="AW106"/>
      <c r="AX106"/>
      <c r="AY106"/>
      <c r="AZ106"/>
      <c r="BA106"/>
    </row>
    <row r="107" spans="3:53" x14ac:dyDescent="0.35">
      <c r="C107"/>
      <c r="D107"/>
      <c r="E107"/>
      <c r="F107"/>
      <c r="AV107"/>
      <c r="AW107"/>
      <c r="AX107"/>
      <c r="AY107"/>
      <c r="AZ107"/>
      <c r="BA107"/>
    </row>
    <row r="108" spans="3:53" x14ac:dyDescent="0.35">
      <c r="C108"/>
      <c r="D108"/>
      <c r="E108"/>
      <c r="F108"/>
      <c r="AV108"/>
      <c r="AW108"/>
      <c r="AX108"/>
      <c r="AY108"/>
      <c r="AZ108"/>
      <c r="BA108"/>
    </row>
    <row r="109" spans="3:53" x14ac:dyDescent="0.35">
      <c r="C109"/>
      <c r="D109"/>
      <c r="E109"/>
      <c r="F109"/>
      <c r="AV109"/>
      <c r="AW109"/>
      <c r="AX109"/>
      <c r="AY109"/>
      <c r="AZ109"/>
      <c r="BA109"/>
    </row>
    <row r="110" spans="3:53" x14ac:dyDescent="0.35">
      <c r="C110"/>
      <c r="D110"/>
      <c r="E110"/>
      <c r="F110"/>
      <c r="AV110"/>
      <c r="AW110"/>
      <c r="AX110"/>
      <c r="AY110"/>
      <c r="AZ110"/>
      <c r="BA110"/>
    </row>
    <row r="111" spans="3:53" x14ac:dyDescent="0.35">
      <c r="C111"/>
      <c r="D111"/>
      <c r="E111"/>
      <c r="F111"/>
      <c r="AV111"/>
      <c r="AW111"/>
      <c r="AX111"/>
      <c r="AY111"/>
      <c r="AZ111"/>
      <c r="BA111"/>
    </row>
    <row r="112" spans="3:53" x14ac:dyDescent="0.35">
      <c r="C112"/>
      <c r="D112"/>
      <c r="E112"/>
      <c r="F112"/>
      <c r="AV112"/>
      <c r="AW112"/>
      <c r="AX112"/>
      <c r="AY112"/>
      <c r="AZ112"/>
      <c r="BA112"/>
    </row>
    <row r="113" spans="3:53" x14ac:dyDescent="0.35">
      <c r="C113"/>
      <c r="D113"/>
      <c r="E113"/>
      <c r="F113"/>
      <c r="AV113"/>
      <c r="AW113"/>
      <c r="AX113"/>
      <c r="AY113"/>
      <c r="AZ113"/>
      <c r="BA113"/>
    </row>
    <row r="114" spans="3:53" x14ac:dyDescent="0.3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K24" sqref="K24"/>
    </sheetView>
  </sheetViews>
  <sheetFormatPr defaultRowHeight="14.5" outlineLevelCol="1" x14ac:dyDescent="0.35"/>
  <cols>
    <col min="1" max="1" width="1.26953125" customWidth="1"/>
    <col min="2" max="2" width="20" style="9" bestFit="1" customWidth="1"/>
    <col min="3" max="3" width="10.26953125" style="9" customWidth="1"/>
    <col min="4" max="4" width="11" style="9" bestFit="1" customWidth="1"/>
    <col min="5" max="5" width="11.26953125" style="9" customWidth="1"/>
    <col min="6" max="6" width="38" style="12" bestFit="1" customWidth="1"/>
    <col min="7" max="7" width="19.7265625" style="12" hidden="1" customWidth="1" outlineLevel="1"/>
    <col min="8" max="8" width="38.7265625" style="12" hidden="1" customWidth="1" outlineLevel="1"/>
    <col min="9" max="10" width="21.7265625" style="12" hidden="1" customWidth="1" outlineLevel="1"/>
    <col min="11" max="11" width="16.81640625" style="12" bestFit="1" customWidth="1" collapsed="1"/>
    <col min="12" max="13" width="11.7265625" style="12" hidden="1" customWidth="1" outlineLevel="1"/>
    <col min="14" max="14" width="10.7265625" style="12" hidden="1" customWidth="1" outlineLevel="1"/>
    <col min="15" max="18" width="18.26953125" style="12" hidden="1" customWidth="1" outlineLevel="1"/>
    <col min="19" max="19" width="11.26953125" style="12" hidden="1" customWidth="1" outlineLevel="1"/>
    <col min="20" max="20" width="10.7265625" style="12" hidden="1" customWidth="1" outlineLevel="1"/>
    <col min="21" max="24" width="16.1796875" style="12" hidden="1" customWidth="1" outlineLevel="1"/>
    <col min="25" max="25" width="11.26953125" style="12" hidden="1" customWidth="1" outlineLevel="1"/>
    <col min="26" max="26" width="10.7265625" style="12" hidden="1" customWidth="1" outlineLevel="1"/>
    <col min="27" max="30" width="16.1796875" style="12" hidden="1" customWidth="1" outlineLevel="1"/>
    <col min="31" max="32" width="10.7265625" style="12" hidden="1" customWidth="1" outlineLevel="1"/>
    <col min="33" max="33" width="11.7265625" style="12" hidden="1" customWidth="1" outlineLevel="1" collapsed="1"/>
    <col min="34" max="34" width="11.7265625" style="12" hidden="1" customWidth="1" outlineLevel="1"/>
    <col min="35" max="36" width="10.7265625" style="12" hidden="1" customWidth="1" outlineLevel="1"/>
    <col min="37" max="37" width="14.7265625" style="12" hidden="1" customWidth="1" outlineLevel="1"/>
    <col min="38" max="38" width="14.26953125" style="12" hidden="1" customWidth="1" outlineLevel="1"/>
    <col min="39" max="39" width="15.453125" style="12" hidden="1" customWidth="1" outlineLevel="1"/>
    <col min="40" max="40" width="11.26953125" style="12" hidden="1" customWidth="1" outlineLevel="1"/>
    <col min="41" max="41" width="10.7265625" style="12" hidden="1" customWidth="1" outlineLevel="1"/>
    <col min="42" max="42" width="10" style="12" hidden="1" customWidth="1" outlineLevel="1"/>
    <col min="43" max="43" width="10.7265625" style="12" hidden="1" customWidth="1" outlineLevel="1"/>
    <col min="44" max="44" width="14.7265625" style="12" hidden="1" customWidth="1" outlineLevel="1"/>
    <col min="45" max="45" width="14.26953125" style="12" hidden="1" customWidth="1" outlineLevel="1"/>
    <col min="46" max="46" width="15.453125" style="12" hidden="1" customWidth="1" outlineLevel="1"/>
    <col min="47" max="47" width="11.26953125" style="12" hidden="1" customWidth="1" outlineLevel="1"/>
    <col min="48" max="48" width="10.7265625" style="12" hidden="1" customWidth="1" outlineLevel="1"/>
    <col min="49" max="53" width="15.7265625" style="12" hidden="1" customWidth="1" outlineLevel="1"/>
    <col min="54" max="54" width="13.54296875" style="12" hidden="1" customWidth="1" outlineLevel="1"/>
    <col min="55" max="55" width="13.453125" style="12" hidden="1" customWidth="1" outlineLevel="1"/>
    <col min="56" max="56" width="11.7265625" style="12" hidden="1" customWidth="1" outlineLevel="1" collapsed="1"/>
    <col min="57" max="57" width="11.7265625" style="12" hidden="1" customWidth="1" outlineLevel="1"/>
    <col min="58" max="58" width="10.7265625" style="12" hidden="1" customWidth="1" outlineLevel="1"/>
    <col min="59" max="59" width="10" style="12" hidden="1" customWidth="1" outlineLevel="1"/>
    <col min="60" max="60" width="10.7265625" style="12" hidden="1" customWidth="1" outlineLevel="1"/>
    <col min="61" max="61" width="14.7265625" style="12" hidden="1" customWidth="1" outlineLevel="1"/>
    <col min="62" max="62" width="14.26953125" style="12" hidden="1" customWidth="1" outlineLevel="1"/>
    <col min="63" max="63" width="15.453125" style="12" hidden="1" customWidth="1" outlineLevel="1"/>
    <col min="64" max="64" width="11.26953125" style="12" hidden="1" customWidth="1" outlineLevel="1"/>
    <col min="65" max="65" width="10.7265625" style="12" hidden="1" customWidth="1" outlineLevel="1"/>
    <col min="66" max="66" width="10" style="12" hidden="1" customWidth="1" outlineLevel="1" collapsed="1"/>
    <col min="67" max="67" width="10.7265625" style="12" hidden="1" customWidth="1" outlineLevel="1"/>
    <col min="68" max="68" width="14.7265625" style="12" hidden="1" customWidth="1" outlineLevel="1"/>
    <col min="69" max="69" width="14.26953125" style="12" hidden="1" customWidth="1" outlineLevel="1"/>
    <col min="70" max="70" width="15.453125" style="12" hidden="1" customWidth="1" outlineLevel="1"/>
    <col min="71" max="71" width="11.26953125" style="12" hidden="1" customWidth="1" outlineLevel="1"/>
    <col min="72" max="72" width="10.7265625" style="12" hidden="1" customWidth="1" outlineLevel="1"/>
    <col min="73" max="73" width="10" style="12" hidden="1" customWidth="1" outlineLevel="1"/>
    <col min="74" max="74" width="10.7265625" style="12" hidden="1" customWidth="1" outlineLevel="1"/>
    <col min="75" max="75" width="14.7265625" style="12" hidden="1" customWidth="1" outlineLevel="1"/>
    <col min="76" max="76" width="14.26953125" style="12" hidden="1" customWidth="1" outlineLevel="1"/>
    <col min="77" max="77" width="15.453125" style="12" hidden="1" customWidth="1" outlineLevel="1"/>
    <col min="78" max="78" width="11.26953125" style="12" hidden="1" customWidth="1" outlineLevel="1"/>
    <col min="79" max="79" width="10.7265625" style="12" hidden="1" customWidth="1" outlineLevel="1"/>
    <col min="80" max="80" width="11" style="12" customWidth="1" collapsed="1"/>
    <col min="81" max="81" width="11.7265625" style="12" customWidth="1"/>
    <col min="82" max="82" width="9.453125" style="12" customWidth="1"/>
    <col min="83" max="83" width="10" style="12" customWidth="1"/>
    <col min="84" max="84" width="10.7265625" style="12" customWidth="1"/>
    <col min="85" max="85" width="13.453125" style="12" customWidth="1"/>
    <col min="86" max="86" width="13.26953125" style="12" customWidth="1"/>
    <col min="87" max="89" width="15.453125" style="12" customWidth="1"/>
    <col min="90" max="90" width="11.26953125" style="12" customWidth="1"/>
    <col min="91" max="91" width="9.26953125" style="12" customWidth="1"/>
    <col min="92" max="92" width="10" style="12" customWidth="1"/>
    <col min="93" max="93" width="10.7265625" style="12" customWidth="1"/>
    <col min="94" max="94" width="14.7265625" style="12" customWidth="1"/>
    <col min="95" max="95" width="14.26953125" style="12" customWidth="1"/>
    <col min="96" max="97" width="15.453125" style="12" customWidth="1"/>
    <col min="98" max="98" width="13" style="12" customWidth="1"/>
    <col min="99" max="99" width="11.26953125" style="12" customWidth="1"/>
    <col min="100" max="100" width="10.7265625" style="12" customWidth="1"/>
    <col min="101" max="101" width="10" style="12" customWidth="1"/>
    <col min="102" max="102" width="10.7265625" style="12" customWidth="1"/>
    <col min="103" max="103" width="14.7265625" style="12" customWidth="1"/>
    <col min="104" max="104" width="14.26953125" style="12" customWidth="1"/>
    <col min="105" max="106" width="15.453125" style="12" customWidth="1"/>
    <col min="107" max="107" width="13" style="12" customWidth="1"/>
    <col min="108" max="108" width="11.26953125" style="12" customWidth="1"/>
    <col min="109" max="109" width="10.7265625" style="12" customWidth="1"/>
    <col min="110" max="110" width="3.7265625" customWidth="1"/>
  </cols>
  <sheetData>
    <row r="1" spans="2:110" s="46" customFormat="1" ht="13" x14ac:dyDescent="0.35">
      <c r="B1" s="48"/>
      <c r="K1" s="47"/>
    </row>
    <row r="2" spans="2:110" s="46" customFormat="1" ht="15.75" customHeight="1" thickBot="1" x14ac:dyDescent="0.4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59.431709013914087</v>
      </c>
      <c r="CC2" s="98">
        <f>SUM(CC6:CC76)</f>
        <v>0</v>
      </c>
      <c r="CD2" s="46">
        <f>SUM(CD6:CD76)</f>
        <v>0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0</v>
      </c>
      <c r="DE2" s="46">
        <f>SUM(DE6:DE76)</f>
        <v>0</v>
      </c>
    </row>
    <row r="3" spans="2:110" s="39" customFormat="1" ht="21.75" customHeight="1" x14ac:dyDescent="0.3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4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3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3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3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 t="str">
        <f t="shared" ref="CB7:CB36" si="44">IF((CL7+CU7+DD7)/3=0,"",(CL7+CU7+DD7)/3)</f>
        <v/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0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0</v>
      </c>
      <c r="CZ7" s="92">
        <f>IFERROR(AVERAGEIFS('Base Kpi'!$EJ:$EJ,'Base Kpi'!$EC:$EC,Cliente!$E7,'Base Kpi'!$EI:$EI,Cliente!CZ$5),0)</f>
        <v>0</v>
      </c>
      <c r="DA7" s="92">
        <f>IFERROR(AVERAGEIFS('Base Kpi'!$EJ:$EJ,'Base Kpi'!$EC:$EC,Cliente!$E7,'Base Kpi'!$EI:$EI,Cliente!DA$5),0)</f>
        <v>0</v>
      </c>
      <c r="DB7" s="92">
        <f>IFERROR(AVERAGEIFS('Base Kpi'!$EJ:$EJ,'Base Kpi'!$EC:$EC,Cliente!$E7,'Base Kpi'!$EI:$EI,Cliente!DB$5),0)</f>
        <v>0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0</v>
      </c>
      <c r="DE7" s="95">
        <f t="shared" ref="DE7:DE36" si="51">IF(DD7&gt;=7,1,0)</f>
        <v>0</v>
      </c>
      <c r="DF7" s="120"/>
    </row>
    <row r="8" spans="2:110" x14ac:dyDescent="0.3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3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59.54999999999999</v>
      </c>
      <c r="CC9" s="97">
        <f t="shared" si="45"/>
        <v>0</v>
      </c>
      <c r="CD9" s="43">
        <f t="shared" si="46"/>
        <v>0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0</v>
      </c>
      <c r="CX9" s="92">
        <f>IFERROR(AVERAGEIFS('Base Kpi'!$EJ:$EJ,'Base Kpi'!$EC:$EC,Cliente!$E9,'Base Kpi'!$EI:$EI,Cliente!CX$5),0)</f>
        <v>0</v>
      </c>
      <c r="CY9" s="92">
        <f>IFERROR(AVERAGEIFS('Base Kpi'!$EJ:$EJ,'Base Kpi'!$EC:$EC,Cliente!$E9,'Base Kpi'!$EI:$EI,Cliente!CY$5),0)</f>
        <v>0</v>
      </c>
      <c r="CZ9" s="92">
        <f>IFERROR(AVERAGEIFS('Base Kpi'!$EJ:$EJ,'Base Kpi'!$EC:$EC,Cliente!$E9,'Base Kpi'!$EI:$EI,Cliente!CZ$5),0)</f>
        <v>0</v>
      </c>
      <c r="DA9" s="92">
        <f>IFERROR(AVERAGEIFS('Base Kpi'!$EJ:$EJ,'Base Kpi'!$EC:$EC,Cliente!$E9,'Base Kpi'!$EI:$EI,Cliente!DA$5),0)</f>
        <v>0</v>
      </c>
      <c r="DB9" s="92">
        <f>IFERROR(AVERAGEIFS('Base Kpi'!$EJ:$EJ,'Base Kpi'!$EC:$EC,Cliente!$E9,'Base Kpi'!$EI:$EI,Cliente!DB$5),0)</f>
        <v>0</v>
      </c>
      <c r="DC9" s="92">
        <f>IFERROR(AVERAGEIFS('Base Kpi'!$EJ:$EJ,'Base Kpi'!$EC:$EC,Cliente!$E9,'Base Kpi'!$EI:$EI,Cliente!DC$5),0)</f>
        <v>0</v>
      </c>
      <c r="DD9" s="94">
        <f t="shared" si="50"/>
        <v>0</v>
      </c>
      <c r="DE9" s="95">
        <f t="shared" si="51"/>
        <v>0</v>
      </c>
      <c r="DF9" s="120"/>
    </row>
    <row r="10" spans="2:110" x14ac:dyDescent="0.3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61.666666666666664</v>
      </c>
      <c r="CC10" s="97">
        <f t="shared" si="45"/>
        <v>0</v>
      </c>
      <c r="CD10" s="43">
        <f t="shared" si="46"/>
        <v>0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0</v>
      </c>
      <c r="CX10" s="92">
        <f>IFERROR(AVERAGEIFS('Base Kpi'!$EJ:$EJ,'Base Kpi'!$EC:$EC,Cliente!$E10,'Base Kpi'!$EI:$EI,Cliente!CX$5),0)</f>
        <v>0</v>
      </c>
      <c r="CY10" s="92">
        <f>IFERROR(AVERAGEIFS('Base Kpi'!$EJ:$EJ,'Base Kpi'!$EC:$EC,Cliente!$E10,'Base Kpi'!$EI:$EI,Cliente!CY$5),0)</f>
        <v>0</v>
      </c>
      <c r="CZ10" s="92">
        <f>IFERROR(AVERAGEIFS('Base Kpi'!$EJ:$EJ,'Base Kpi'!$EC:$EC,Cliente!$E10,'Base Kpi'!$EI:$EI,Cliente!CZ$5),0)</f>
        <v>0</v>
      </c>
      <c r="DA10" s="92">
        <f>IFERROR(AVERAGEIFS('Base Kpi'!$EJ:$EJ,'Base Kpi'!$EC:$EC,Cliente!$E10,'Base Kpi'!$EI:$EI,Cliente!DA$5),0)</f>
        <v>0</v>
      </c>
      <c r="DB10" s="92">
        <f>IFERROR(AVERAGEIFS('Base Kpi'!$EJ:$EJ,'Base Kpi'!$EC:$EC,Cliente!$E10,'Base Kpi'!$EI:$EI,Cliente!DB$5),0)</f>
        <v>0</v>
      </c>
      <c r="DC10" s="92">
        <f>IFERROR(AVERAGEIFS('Base Kpi'!$EJ:$EJ,'Base Kpi'!$EC:$EC,Cliente!$E10,'Base Kpi'!$EI:$EI,Cliente!DC$5),0)</f>
        <v>0</v>
      </c>
      <c r="DD10" s="94">
        <f t="shared" si="50"/>
        <v>0</v>
      </c>
      <c r="DE10" s="95">
        <f t="shared" si="51"/>
        <v>0</v>
      </c>
      <c r="DF10" s="120"/>
    </row>
    <row r="11" spans="2:110" x14ac:dyDescent="0.3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60.266666666666673</v>
      </c>
      <c r="CC11" s="97">
        <f t="shared" si="45"/>
        <v>0</v>
      </c>
      <c r="CD11" s="43">
        <f t="shared" si="46"/>
        <v>0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0</v>
      </c>
      <c r="CX11" s="92">
        <f>IFERROR(AVERAGEIFS('Base Kpi'!$EJ:$EJ,'Base Kpi'!$EC:$EC,Cliente!$E11,'Base Kpi'!$EI:$EI,Cliente!CX$5),0)</f>
        <v>0</v>
      </c>
      <c r="CY11" s="92">
        <f>IFERROR(AVERAGEIFS('Base Kpi'!$EJ:$EJ,'Base Kpi'!$EC:$EC,Cliente!$E11,'Base Kpi'!$EI:$EI,Cliente!CY$5),0)</f>
        <v>0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0</v>
      </c>
      <c r="DB11" s="92">
        <f>IFERROR(AVERAGEIFS('Base Kpi'!$EJ:$EJ,'Base Kpi'!$EC:$EC,Cliente!$E11,'Base Kpi'!$EI:$EI,Cliente!DB$5),0)</f>
        <v>0</v>
      </c>
      <c r="DC11" s="92">
        <f>IFERROR(AVERAGEIFS('Base Kpi'!$EJ:$EJ,'Base Kpi'!$EC:$EC,Cliente!$E11,'Base Kpi'!$EI:$EI,Cliente!DC$5),0)</f>
        <v>0</v>
      </c>
      <c r="DD11" s="94">
        <f t="shared" si="50"/>
        <v>0</v>
      </c>
      <c r="DE11" s="95">
        <f t="shared" si="51"/>
        <v>0</v>
      </c>
      <c r="DF11" s="120"/>
    </row>
    <row r="12" spans="2:110" x14ac:dyDescent="0.3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64.274999999999991</v>
      </c>
      <c r="CC12" s="97">
        <f t="shared" si="45"/>
        <v>0</v>
      </c>
      <c r="CD12" s="43">
        <f t="shared" si="46"/>
        <v>0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0</v>
      </c>
      <c r="CX12" s="92">
        <f>IFERROR(AVERAGEIFS('Base Kpi'!$EJ:$EJ,'Base Kpi'!$EC:$EC,Cliente!$E12,'Base Kpi'!$EI:$EI,Cliente!CX$5),0)</f>
        <v>0</v>
      </c>
      <c r="CY12" s="92">
        <f>IFERROR(AVERAGEIFS('Base Kpi'!$EJ:$EJ,'Base Kpi'!$EC:$EC,Cliente!$E12,'Base Kpi'!$EI:$EI,Cliente!CY$5),0)</f>
        <v>0</v>
      </c>
      <c r="CZ12" s="92">
        <f>IFERROR(AVERAGEIFS('Base Kpi'!$EJ:$EJ,'Base Kpi'!$EC:$EC,Cliente!$E12,'Base Kpi'!$EI:$EI,Cliente!CZ$5),0)</f>
        <v>0</v>
      </c>
      <c r="DA12" s="92">
        <f>IFERROR(AVERAGEIFS('Base Kpi'!$EJ:$EJ,'Base Kpi'!$EC:$EC,Cliente!$E12,'Base Kpi'!$EI:$EI,Cliente!DA$5),0)</f>
        <v>0</v>
      </c>
      <c r="DB12" s="92">
        <f>IFERROR(AVERAGEIFS('Base Kpi'!$EJ:$EJ,'Base Kpi'!$EC:$EC,Cliente!$E12,'Base Kpi'!$EI:$EI,Cliente!DB$5),0)</f>
        <v>0</v>
      </c>
      <c r="DC12" s="92">
        <f>IFERROR(AVERAGEIFS('Base Kpi'!$EJ:$EJ,'Base Kpi'!$EC:$EC,Cliente!$E12,'Base Kpi'!$EI:$EI,Cliente!DC$5),0)</f>
        <v>0</v>
      </c>
      <c r="DD12" s="94">
        <f t="shared" si="50"/>
        <v>0</v>
      </c>
      <c r="DE12" s="95">
        <f t="shared" si="51"/>
        <v>0</v>
      </c>
      <c r="DF12" s="120"/>
    </row>
    <row r="13" spans="2:110" x14ac:dyDescent="0.3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64.399999999999991</v>
      </c>
      <c r="CC13" s="97">
        <f t="shared" si="45"/>
        <v>0</v>
      </c>
      <c r="CD13" s="43">
        <f t="shared" si="46"/>
        <v>0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0</v>
      </c>
      <c r="CX13" s="92">
        <f>IFERROR(AVERAGEIFS('Base Kpi'!$EJ:$EJ,'Base Kpi'!$EC:$EC,Cliente!$E13,'Base Kpi'!$EI:$EI,Cliente!CX$5),0)</f>
        <v>0</v>
      </c>
      <c r="CY13" s="92">
        <f>IFERROR(AVERAGEIFS('Base Kpi'!$EJ:$EJ,'Base Kpi'!$EC:$EC,Cliente!$E13,'Base Kpi'!$EI:$EI,Cliente!CY$5),0)</f>
        <v>0</v>
      </c>
      <c r="CZ13" s="92">
        <f>IFERROR(AVERAGEIFS('Base Kpi'!$EJ:$EJ,'Base Kpi'!$EC:$EC,Cliente!$E13,'Base Kpi'!$EI:$EI,Cliente!CZ$5),0)</f>
        <v>0</v>
      </c>
      <c r="DA13" s="92">
        <f>IFERROR(AVERAGEIFS('Base Kpi'!$EJ:$EJ,'Base Kpi'!$EC:$EC,Cliente!$E13,'Base Kpi'!$EI:$EI,Cliente!DA$5),0)</f>
        <v>0</v>
      </c>
      <c r="DB13" s="92">
        <f>IFERROR(AVERAGEIFS('Base Kpi'!$EJ:$EJ,'Base Kpi'!$EC:$EC,Cliente!$E13,'Base Kpi'!$EI:$EI,Cliente!DB$5),0)</f>
        <v>0</v>
      </c>
      <c r="DC13" s="92">
        <f>IFERROR(AVERAGEIFS('Base Kpi'!$EJ:$EJ,'Base Kpi'!$EC:$EC,Cliente!$E13,'Base Kpi'!$EI:$EI,Cliente!DC$5),0)</f>
        <v>0</v>
      </c>
      <c r="DD13" s="94">
        <f t="shared" si="50"/>
        <v>0</v>
      </c>
      <c r="DE13" s="95">
        <f t="shared" si="51"/>
        <v>0</v>
      </c>
      <c r="DF13" s="120"/>
    </row>
    <row r="14" spans="2:110" x14ac:dyDescent="0.3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65.341666666666669</v>
      </c>
      <c r="CC14" s="97">
        <f t="shared" si="45"/>
        <v>0</v>
      </c>
      <c r="CD14" s="43">
        <f t="shared" si="46"/>
        <v>0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0</v>
      </c>
      <c r="CX14" s="92">
        <f>IFERROR(AVERAGEIFS('Base Kpi'!$EJ:$EJ,'Base Kpi'!$EC:$EC,Cliente!$E14,'Base Kpi'!$EI:$EI,Cliente!CX$5),0)</f>
        <v>0</v>
      </c>
      <c r="CY14" s="92">
        <f>IFERROR(AVERAGEIFS('Base Kpi'!$EJ:$EJ,'Base Kpi'!$EC:$EC,Cliente!$E14,'Base Kpi'!$EI:$EI,Cliente!CY$5),0)</f>
        <v>0</v>
      </c>
      <c r="CZ14" s="92">
        <f>IFERROR(AVERAGEIFS('Base Kpi'!$EJ:$EJ,'Base Kpi'!$EC:$EC,Cliente!$E14,'Base Kpi'!$EI:$EI,Cliente!CZ$5),0)</f>
        <v>0</v>
      </c>
      <c r="DA14" s="92">
        <f>IFERROR(AVERAGEIFS('Base Kpi'!$EJ:$EJ,'Base Kpi'!$EC:$EC,Cliente!$E14,'Base Kpi'!$EI:$EI,Cliente!DA$5),0)</f>
        <v>0</v>
      </c>
      <c r="DB14" s="92">
        <f>IFERROR(AVERAGEIFS('Base Kpi'!$EJ:$EJ,'Base Kpi'!$EC:$EC,Cliente!$E14,'Base Kpi'!$EI:$EI,Cliente!DB$5),0)</f>
        <v>0</v>
      </c>
      <c r="DC14" s="92">
        <f>IFERROR(AVERAGEIFS('Base Kpi'!$EJ:$EJ,'Base Kpi'!$EC:$EC,Cliente!$E14,'Base Kpi'!$EI:$EI,Cliente!DC$5),0)</f>
        <v>0</v>
      </c>
      <c r="DD14" s="94">
        <f t="shared" si="50"/>
        <v>0</v>
      </c>
      <c r="DE14" s="95">
        <f t="shared" si="51"/>
        <v>0</v>
      </c>
      <c r="DF14" s="120"/>
    </row>
    <row r="15" spans="2:110" x14ac:dyDescent="0.3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58.333333333333336</v>
      </c>
      <c r="CC15" s="97">
        <f t="shared" si="45"/>
        <v>0</v>
      </c>
      <c r="CD15" s="43">
        <f t="shared" si="46"/>
        <v>0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0</v>
      </c>
      <c r="CX15" s="92">
        <f>IFERROR(AVERAGEIFS('Base Kpi'!$EJ:$EJ,'Base Kpi'!$EC:$EC,Cliente!$E15,'Base Kpi'!$EI:$EI,Cliente!CX$5),0)</f>
        <v>0</v>
      </c>
      <c r="CY15" s="92">
        <f>IFERROR(AVERAGEIFS('Base Kpi'!$EJ:$EJ,'Base Kpi'!$EC:$EC,Cliente!$E15,'Base Kpi'!$EI:$EI,Cliente!CY$5),0)</f>
        <v>0</v>
      </c>
      <c r="CZ15" s="92">
        <f>IFERROR(AVERAGEIFS('Base Kpi'!$EJ:$EJ,'Base Kpi'!$EC:$EC,Cliente!$E15,'Base Kpi'!$EI:$EI,Cliente!CZ$5),0)</f>
        <v>0</v>
      </c>
      <c r="DA15" s="92">
        <f>IFERROR(AVERAGEIFS('Base Kpi'!$EJ:$EJ,'Base Kpi'!$EC:$EC,Cliente!$E15,'Base Kpi'!$EI:$EI,Cliente!DA$5),0)</f>
        <v>0</v>
      </c>
      <c r="DB15" s="92">
        <f>IFERROR(AVERAGEIFS('Base Kpi'!$EJ:$EJ,'Base Kpi'!$EC:$EC,Cliente!$E15,'Base Kpi'!$EI:$EI,Cliente!DB$5),0)</f>
        <v>0</v>
      </c>
      <c r="DC15" s="92">
        <f>IFERROR(AVERAGEIFS('Base Kpi'!$EJ:$EJ,'Base Kpi'!$EC:$EC,Cliente!$E15,'Base Kpi'!$EI:$EI,Cliente!DC$5),0)</f>
        <v>0</v>
      </c>
      <c r="DD15" s="94">
        <f t="shared" si="50"/>
        <v>0</v>
      </c>
      <c r="DE15" s="95">
        <f t="shared" si="51"/>
        <v>0</v>
      </c>
      <c r="DF15" s="120"/>
    </row>
    <row r="16" spans="2:110" x14ac:dyDescent="0.3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60.95000000000001</v>
      </c>
      <c r="CC16" s="97">
        <f t="shared" si="45"/>
        <v>0</v>
      </c>
      <c r="CD16" s="43">
        <f t="shared" si="46"/>
        <v>0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0</v>
      </c>
      <c r="CX16" s="92">
        <f>IFERROR(AVERAGEIFS('Base Kpi'!$EJ:$EJ,'Base Kpi'!$EC:$EC,Cliente!$E16,'Base Kpi'!$EI:$EI,Cliente!CX$5),0)</f>
        <v>0</v>
      </c>
      <c r="CY16" s="92">
        <f>IFERROR(AVERAGEIFS('Base Kpi'!$EJ:$EJ,'Base Kpi'!$EC:$EC,Cliente!$E16,'Base Kpi'!$EI:$EI,Cliente!CY$5),0)</f>
        <v>0</v>
      </c>
      <c r="CZ16" s="92">
        <f>IFERROR(AVERAGEIFS('Base Kpi'!$EJ:$EJ,'Base Kpi'!$EC:$EC,Cliente!$E16,'Base Kpi'!$EI:$EI,Cliente!CZ$5),0)</f>
        <v>0</v>
      </c>
      <c r="DA16" s="92">
        <f>IFERROR(AVERAGEIFS('Base Kpi'!$EJ:$EJ,'Base Kpi'!$EC:$EC,Cliente!$E16,'Base Kpi'!$EI:$EI,Cliente!DA$5),0)</f>
        <v>0</v>
      </c>
      <c r="DB16" s="92">
        <f>IFERROR(AVERAGEIFS('Base Kpi'!$EJ:$EJ,'Base Kpi'!$EC:$EC,Cliente!$E16,'Base Kpi'!$EI:$EI,Cliente!DB$5),0)</f>
        <v>0</v>
      </c>
      <c r="DC16" s="92">
        <f>IFERROR(AVERAGEIFS('Base Kpi'!$EJ:$EJ,'Base Kpi'!$EC:$EC,Cliente!$E16,'Base Kpi'!$EI:$EI,Cliente!DC$5),0)</f>
        <v>0</v>
      </c>
      <c r="DD16" s="94">
        <f t="shared" si="50"/>
        <v>0</v>
      </c>
      <c r="DE16" s="95">
        <f t="shared" si="51"/>
        <v>0</v>
      </c>
      <c r="DF16" s="120"/>
    </row>
    <row r="17" spans="2:110" x14ac:dyDescent="0.3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59.083333333333336</v>
      </c>
      <c r="CC17" s="97">
        <f t="shared" si="45"/>
        <v>0</v>
      </c>
      <c r="CD17" s="43">
        <f t="shared" si="46"/>
        <v>0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0</v>
      </c>
      <c r="CX17" s="92">
        <f>IFERROR(AVERAGEIFS('Base Kpi'!$EJ:$EJ,'Base Kpi'!$EC:$EC,Cliente!$E17,'Base Kpi'!$EI:$EI,Cliente!CX$5),0)</f>
        <v>0</v>
      </c>
      <c r="CY17" s="92">
        <f>IFERROR(AVERAGEIFS('Base Kpi'!$EJ:$EJ,'Base Kpi'!$EC:$EC,Cliente!$E17,'Base Kpi'!$EI:$EI,Cliente!CY$5),0)</f>
        <v>0</v>
      </c>
      <c r="CZ17" s="92">
        <f>IFERROR(AVERAGEIFS('Base Kpi'!$EJ:$EJ,'Base Kpi'!$EC:$EC,Cliente!$E17,'Base Kpi'!$EI:$EI,Cliente!CZ$5),0)</f>
        <v>0</v>
      </c>
      <c r="DA17" s="92">
        <f>IFERROR(AVERAGEIFS('Base Kpi'!$EJ:$EJ,'Base Kpi'!$EC:$EC,Cliente!$E17,'Base Kpi'!$EI:$EI,Cliente!DA$5),0)</f>
        <v>0</v>
      </c>
      <c r="DB17" s="92">
        <f>IFERROR(AVERAGEIFS('Base Kpi'!$EJ:$EJ,'Base Kpi'!$EC:$EC,Cliente!$E17,'Base Kpi'!$EI:$EI,Cliente!DB$5),0)</f>
        <v>0</v>
      </c>
      <c r="DC17" s="92">
        <f>IFERROR(AVERAGEIFS('Base Kpi'!$EJ:$EJ,'Base Kpi'!$EC:$EC,Cliente!$E17,'Base Kpi'!$EI:$EI,Cliente!DC$5),0)</f>
        <v>0</v>
      </c>
      <c r="DD17" s="94">
        <f t="shared" si="50"/>
        <v>0</v>
      </c>
      <c r="DE17" s="95">
        <f t="shared" si="51"/>
        <v>0</v>
      </c>
      <c r="DF17" s="120"/>
    </row>
    <row r="18" spans="2:110" x14ac:dyDescent="0.3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60.808333333333337</v>
      </c>
      <c r="CC18" s="97">
        <f t="shared" si="45"/>
        <v>0</v>
      </c>
      <c r="CD18" s="43">
        <f t="shared" si="46"/>
        <v>0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0</v>
      </c>
      <c r="CX18" s="92">
        <f>IFERROR(AVERAGEIFS('Base Kpi'!$EJ:$EJ,'Base Kpi'!$EC:$EC,Cliente!$E18,'Base Kpi'!$EI:$EI,Cliente!CX$5),0)</f>
        <v>0</v>
      </c>
      <c r="CY18" s="92">
        <f>IFERROR(AVERAGEIFS('Base Kpi'!$EJ:$EJ,'Base Kpi'!$EC:$EC,Cliente!$E18,'Base Kpi'!$EI:$EI,Cliente!CY$5),0)</f>
        <v>0</v>
      </c>
      <c r="CZ18" s="92">
        <f>IFERROR(AVERAGEIFS('Base Kpi'!$EJ:$EJ,'Base Kpi'!$EC:$EC,Cliente!$E18,'Base Kpi'!$EI:$EI,Cliente!CZ$5),0)</f>
        <v>0</v>
      </c>
      <c r="DA18" s="92">
        <f>IFERROR(AVERAGEIFS('Base Kpi'!$EJ:$EJ,'Base Kpi'!$EC:$EC,Cliente!$E18,'Base Kpi'!$EI:$EI,Cliente!DA$5),0)</f>
        <v>0</v>
      </c>
      <c r="DB18" s="92">
        <f>IFERROR(AVERAGEIFS('Base Kpi'!$EJ:$EJ,'Base Kpi'!$EC:$EC,Cliente!$E18,'Base Kpi'!$EI:$EI,Cliente!DB$5),0)</f>
        <v>0</v>
      </c>
      <c r="DC18" s="92">
        <f>IFERROR(AVERAGEIFS('Base Kpi'!$EJ:$EJ,'Base Kpi'!$EC:$EC,Cliente!$E18,'Base Kpi'!$EI:$EI,Cliente!DC$5),0)</f>
        <v>0</v>
      </c>
      <c r="DD18" s="94">
        <f t="shared" si="50"/>
        <v>0</v>
      </c>
      <c r="DE18" s="95">
        <f t="shared" si="51"/>
        <v>0</v>
      </c>
      <c r="DF18" s="120"/>
    </row>
    <row r="19" spans="2:110" x14ac:dyDescent="0.3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54.638333333333328</v>
      </c>
      <c r="CC19" s="97">
        <f t="shared" si="45"/>
        <v>0</v>
      </c>
      <c r="CD19" s="43">
        <f t="shared" si="46"/>
        <v>0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0</v>
      </c>
      <c r="CX19" s="92">
        <f>IFERROR(AVERAGEIFS('Base Kpi'!$EJ:$EJ,'Base Kpi'!$EC:$EC,Cliente!$E19,'Base Kpi'!$EI:$EI,Cliente!CX$5),0)</f>
        <v>0</v>
      </c>
      <c r="CY19" s="92">
        <f>IFERROR(AVERAGEIFS('Base Kpi'!$EJ:$EJ,'Base Kpi'!$EC:$EC,Cliente!$E19,'Base Kpi'!$EI:$EI,Cliente!CY$5),0)</f>
        <v>0</v>
      </c>
      <c r="CZ19" s="92">
        <f>IFERROR(AVERAGEIFS('Base Kpi'!$EJ:$EJ,'Base Kpi'!$EC:$EC,Cliente!$E19,'Base Kpi'!$EI:$EI,Cliente!CZ$5),0)</f>
        <v>0</v>
      </c>
      <c r="DA19" s="92">
        <f>IFERROR(AVERAGEIFS('Base Kpi'!$EJ:$EJ,'Base Kpi'!$EC:$EC,Cliente!$E19,'Base Kpi'!$EI:$EI,Cliente!DA$5),0)</f>
        <v>0</v>
      </c>
      <c r="DB19" s="92">
        <f>IFERROR(AVERAGEIFS('Base Kpi'!$EJ:$EJ,'Base Kpi'!$EC:$EC,Cliente!$E19,'Base Kpi'!$EI:$EI,Cliente!DB$5),0)</f>
        <v>0</v>
      </c>
      <c r="DC19" s="92">
        <f>IFERROR(AVERAGEIFS('Base Kpi'!$EJ:$EJ,'Base Kpi'!$EC:$EC,Cliente!$E19,'Base Kpi'!$EI:$EI,Cliente!DC$5),0)</f>
        <v>0</v>
      </c>
      <c r="DD19" s="94">
        <f t="shared" si="50"/>
        <v>0</v>
      </c>
      <c r="DE19" s="95">
        <f t="shared" si="51"/>
        <v>0</v>
      </c>
      <c r="DF19" s="120"/>
    </row>
    <row r="20" spans="2:110" x14ac:dyDescent="0.3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53.35</v>
      </c>
      <c r="CC20" s="97">
        <f t="shared" si="45"/>
        <v>0</v>
      </c>
      <c r="CD20" s="43">
        <f t="shared" si="46"/>
        <v>0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0</v>
      </c>
      <c r="CX20" s="92">
        <f>IFERROR(AVERAGEIFS('Base Kpi'!$EJ:$EJ,'Base Kpi'!$EC:$EC,Cliente!$E20,'Base Kpi'!$EI:$EI,Cliente!CX$5),0)</f>
        <v>0</v>
      </c>
      <c r="CY20" s="92">
        <f>IFERROR(AVERAGEIFS('Base Kpi'!$EJ:$EJ,'Base Kpi'!$EC:$EC,Cliente!$E20,'Base Kpi'!$EI:$EI,Cliente!CY$5),0)</f>
        <v>0</v>
      </c>
      <c r="CZ20" s="92">
        <f>IFERROR(AVERAGEIFS('Base Kpi'!$EJ:$EJ,'Base Kpi'!$EC:$EC,Cliente!$E20,'Base Kpi'!$EI:$EI,Cliente!CZ$5),0)</f>
        <v>0</v>
      </c>
      <c r="DA20" s="92">
        <f>IFERROR(AVERAGEIFS('Base Kpi'!$EJ:$EJ,'Base Kpi'!$EC:$EC,Cliente!$E20,'Base Kpi'!$EI:$EI,Cliente!DA$5),0)</f>
        <v>0</v>
      </c>
      <c r="DB20" s="92">
        <f>IFERROR(AVERAGEIFS('Base Kpi'!$EJ:$EJ,'Base Kpi'!$EC:$EC,Cliente!$E20,'Base Kpi'!$EI:$EI,Cliente!DB$5),0)</f>
        <v>0</v>
      </c>
      <c r="DC20" s="92">
        <f>IFERROR(AVERAGEIFS('Base Kpi'!$EJ:$EJ,'Base Kpi'!$EC:$EC,Cliente!$E20,'Base Kpi'!$EI:$EI,Cliente!DC$5),0)</f>
        <v>0</v>
      </c>
      <c r="DD20" s="94">
        <f t="shared" si="50"/>
        <v>0</v>
      </c>
      <c r="DE20" s="95">
        <f t="shared" si="51"/>
        <v>0</v>
      </c>
      <c r="DF20" s="120"/>
    </row>
    <row r="21" spans="2:110" x14ac:dyDescent="0.3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52.425000000000004</v>
      </c>
      <c r="CC21" s="97">
        <f t="shared" si="45"/>
        <v>0</v>
      </c>
      <c r="CD21" s="43">
        <f t="shared" si="46"/>
        <v>0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0</v>
      </c>
      <c r="CX21" s="92">
        <f>IFERROR(AVERAGEIFS('Base Kpi'!$EJ:$EJ,'Base Kpi'!$EC:$EC,Cliente!$E21,'Base Kpi'!$EI:$EI,Cliente!CX$5),0)</f>
        <v>0</v>
      </c>
      <c r="CY21" s="92">
        <f>IFERROR(AVERAGEIFS('Base Kpi'!$EJ:$EJ,'Base Kpi'!$EC:$EC,Cliente!$E21,'Base Kpi'!$EI:$EI,Cliente!CY$5),0)</f>
        <v>0</v>
      </c>
      <c r="CZ21" s="92">
        <f>IFERROR(AVERAGEIFS('Base Kpi'!$EJ:$EJ,'Base Kpi'!$EC:$EC,Cliente!$E21,'Base Kpi'!$EI:$EI,Cliente!CZ$5),0)</f>
        <v>0</v>
      </c>
      <c r="DA21" s="92">
        <f>IFERROR(AVERAGEIFS('Base Kpi'!$EJ:$EJ,'Base Kpi'!$EC:$EC,Cliente!$E21,'Base Kpi'!$EI:$EI,Cliente!DA$5),0)</f>
        <v>0</v>
      </c>
      <c r="DB21" s="92">
        <f>IFERROR(AVERAGEIFS('Base Kpi'!$EJ:$EJ,'Base Kpi'!$EC:$EC,Cliente!$E21,'Base Kpi'!$EI:$EI,Cliente!DB$5),0)</f>
        <v>0</v>
      </c>
      <c r="DC21" s="92">
        <f>IFERROR(AVERAGEIFS('Base Kpi'!$EJ:$EJ,'Base Kpi'!$EC:$EC,Cliente!$E21,'Base Kpi'!$EI:$EI,Cliente!DC$5),0)</f>
        <v>0</v>
      </c>
      <c r="DD21" s="94">
        <f t="shared" si="50"/>
        <v>0</v>
      </c>
      <c r="DE21" s="95">
        <f t="shared" si="51"/>
        <v>0</v>
      </c>
      <c r="DF21" s="120"/>
    </row>
    <row r="22" spans="2:110" x14ac:dyDescent="0.3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54.041666666666664</v>
      </c>
      <c r="CC22" s="97">
        <f t="shared" si="45"/>
        <v>0</v>
      </c>
      <c r="CD22" s="43">
        <f t="shared" si="46"/>
        <v>0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0</v>
      </c>
      <c r="CX22" s="92">
        <f>IFERROR(AVERAGEIFS('Base Kpi'!$EJ:$EJ,'Base Kpi'!$EC:$EC,Cliente!$E22,'Base Kpi'!$EI:$EI,Cliente!CX$5),0)</f>
        <v>0</v>
      </c>
      <c r="CY22" s="92">
        <f>IFERROR(AVERAGEIFS('Base Kpi'!$EJ:$EJ,'Base Kpi'!$EC:$EC,Cliente!$E22,'Base Kpi'!$EI:$EI,Cliente!CY$5),0)</f>
        <v>0</v>
      </c>
      <c r="CZ22" s="92">
        <f>IFERROR(AVERAGEIFS('Base Kpi'!$EJ:$EJ,'Base Kpi'!$EC:$EC,Cliente!$E22,'Base Kpi'!$EI:$EI,Cliente!CZ$5),0)</f>
        <v>0</v>
      </c>
      <c r="DA22" s="92">
        <f>IFERROR(AVERAGEIFS('Base Kpi'!$EJ:$EJ,'Base Kpi'!$EC:$EC,Cliente!$E22,'Base Kpi'!$EI:$EI,Cliente!DA$5),0)</f>
        <v>0</v>
      </c>
      <c r="DB22" s="92">
        <f>IFERROR(AVERAGEIFS('Base Kpi'!$EJ:$EJ,'Base Kpi'!$EC:$EC,Cliente!$E22,'Base Kpi'!$EI:$EI,Cliente!DB$5),0)</f>
        <v>0</v>
      </c>
      <c r="DC22" s="92">
        <f>IFERROR(AVERAGEIFS('Base Kpi'!$EJ:$EJ,'Base Kpi'!$EC:$EC,Cliente!$E22,'Base Kpi'!$EI:$EI,Cliente!DC$5),0)</f>
        <v>0</v>
      </c>
      <c r="DD22" s="94">
        <f t="shared" si="50"/>
        <v>0</v>
      </c>
      <c r="DE22" s="95">
        <f t="shared" si="51"/>
        <v>0</v>
      </c>
      <c r="DF22" s="120"/>
    </row>
    <row r="23" spans="2:110" x14ac:dyDescent="0.3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55.35</v>
      </c>
      <c r="CC23" s="97">
        <f t="shared" si="45"/>
        <v>0</v>
      </c>
      <c r="CD23" s="43">
        <f t="shared" si="46"/>
        <v>0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0</v>
      </c>
      <c r="CX23" s="92">
        <f>IFERROR(AVERAGEIFS('Base Kpi'!$EJ:$EJ,'Base Kpi'!$EC:$EC,Cliente!$E23,'Base Kpi'!$EI:$EI,Cliente!CX$5),0)</f>
        <v>0</v>
      </c>
      <c r="CY23" s="92">
        <f>IFERROR(AVERAGEIFS('Base Kpi'!$EJ:$EJ,'Base Kpi'!$EC:$EC,Cliente!$E23,'Base Kpi'!$EI:$EI,Cliente!CY$5),0)</f>
        <v>0</v>
      </c>
      <c r="CZ23" s="92">
        <f>IFERROR(AVERAGEIFS('Base Kpi'!$EJ:$EJ,'Base Kpi'!$EC:$EC,Cliente!$E23,'Base Kpi'!$EI:$EI,Cliente!CZ$5),0)</f>
        <v>0</v>
      </c>
      <c r="DA23" s="92">
        <f>IFERROR(AVERAGEIFS('Base Kpi'!$EJ:$EJ,'Base Kpi'!$EC:$EC,Cliente!$E23,'Base Kpi'!$EI:$EI,Cliente!DA$5),0)</f>
        <v>0</v>
      </c>
      <c r="DB23" s="92">
        <f>IFERROR(AVERAGEIFS('Base Kpi'!$EJ:$EJ,'Base Kpi'!$EC:$EC,Cliente!$E23,'Base Kpi'!$EI:$EI,Cliente!DB$5),0)</f>
        <v>0</v>
      </c>
      <c r="DC23" s="92">
        <f>IFERROR(AVERAGEIFS('Base Kpi'!$EJ:$EJ,'Base Kpi'!$EC:$EC,Cliente!$E23,'Base Kpi'!$EI:$EI,Cliente!DC$5),0)</f>
        <v>0</v>
      </c>
      <c r="DD23" s="94">
        <f t="shared" si="50"/>
        <v>0</v>
      </c>
      <c r="DE23" s="95">
        <f t="shared" si="51"/>
        <v>0</v>
      </c>
      <c r="DF23" s="120"/>
    </row>
    <row r="24" spans="2:110" x14ac:dyDescent="0.3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59.866666666666667</v>
      </c>
      <c r="CC24" s="97">
        <f t="shared" si="45"/>
        <v>0</v>
      </c>
      <c r="CD24" s="43">
        <f t="shared" si="46"/>
        <v>0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0</v>
      </c>
      <c r="CX24" s="92">
        <f>IFERROR(AVERAGEIFS('Base Kpi'!$EJ:$EJ,'Base Kpi'!$EC:$EC,Cliente!$E24,'Base Kpi'!$EI:$EI,Cliente!CX$5),0)</f>
        <v>0</v>
      </c>
      <c r="CY24" s="92">
        <f>IFERROR(AVERAGEIFS('Base Kpi'!$EJ:$EJ,'Base Kpi'!$EC:$EC,Cliente!$E24,'Base Kpi'!$EI:$EI,Cliente!CY$5),0)</f>
        <v>0</v>
      </c>
      <c r="CZ24" s="92">
        <f>IFERROR(AVERAGEIFS('Base Kpi'!$EJ:$EJ,'Base Kpi'!$EC:$EC,Cliente!$E24,'Base Kpi'!$EI:$EI,Cliente!CZ$5),0)</f>
        <v>0</v>
      </c>
      <c r="DA24" s="92">
        <f>IFERROR(AVERAGEIFS('Base Kpi'!$EJ:$EJ,'Base Kpi'!$EC:$EC,Cliente!$E24,'Base Kpi'!$EI:$EI,Cliente!DA$5),0)</f>
        <v>0</v>
      </c>
      <c r="DB24" s="92">
        <f>IFERROR(AVERAGEIFS('Base Kpi'!$EJ:$EJ,'Base Kpi'!$EC:$EC,Cliente!$E24,'Base Kpi'!$EI:$EI,Cliente!DB$5),0)</f>
        <v>0</v>
      </c>
      <c r="DC24" s="92">
        <f>IFERROR(AVERAGEIFS('Base Kpi'!$EJ:$EJ,'Base Kpi'!$EC:$EC,Cliente!$E24,'Base Kpi'!$EI:$EI,Cliente!DC$5),0)</f>
        <v>0</v>
      </c>
      <c r="DD24" s="94">
        <f t="shared" si="50"/>
        <v>0</v>
      </c>
      <c r="DE24" s="95">
        <f t="shared" si="51"/>
        <v>0</v>
      </c>
      <c r="DF24" s="120"/>
    </row>
    <row r="25" spans="2:110" x14ac:dyDescent="0.3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58.483333333333327</v>
      </c>
      <c r="CC25" s="97">
        <f t="shared" si="45"/>
        <v>0</v>
      </c>
      <c r="CD25" s="43">
        <f t="shared" si="46"/>
        <v>0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0</v>
      </c>
      <c r="CX25" s="92">
        <f>IFERROR(AVERAGEIFS('Base Kpi'!$EJ:$EJ,'Base Kpi'!$EC:$EC,Cliente!$E25,'Base Kpi'!$EI:$EI,Cliente!CX$5),0)</f>
        <v>0</v>
      </c>
      <c r="CY25" s="92">
        <f>IFERROR(AVERAGEIFS('Base Kpi'!$EJ:$EJ,'Base Kpi'!$EC:$EC,Cliente!$E25,'Base Kpi'!$EI:$EI,Cliente!CY$5),0)</f>
        <v>0</v>
      </c>
      <c r="CZ25" s="92">
        <f>IFERROR(AVERAGEIFS('Base Kpi'!$EJ:$EJ,'Base Kpi'!$EC:$EC,Cliente!$E25,'Base Kpi'!$EI:$EI,Cliente!CZ$5),0)</f>
        <v>0</v>
      </c>
      <c r="DA25" s="92">
        <f>IFERROR(AVERAGEIFS('Base Kpi'!$EJ:$EJ,'Base Kpi'!$EC:$EC,Cliente!$E25,'Base Kpi'!$EI:$EI,Cliente!DA$5),0)</f>
        <v>0</v>
      </c>
      <c r="DB25" s="92">
        <f>IFERROR(AVERAGEIFS('Base Kpi'!$EJ:$EJ,'Base Kpi'!$EC:$EC,Cliente!$E25,'Base Kpi'!$EI:$EI,Cliente!DB$5),0)</f>
        <v>0</v>
      </c>
      <c r="DC25" s="92">
        <f>IFERROR(AVERAGEIFS('Base Kpi'!$EJ:$EJ,'Base Kpi'!$EC:$EC,Cliente!$E25,'Base Kpi'!$EI:$EI,Cliente!DC$5),0)</f>
        <v>0</v>
      </c>
      <c r="DD25" s="94">
        <f t="shared" si="50"/>
        <v>0</v>
      </c>
      <c r="DE25" s="95">
        <f t="shared" si="51"/>
        <v>0</v>
      </c>
      <c r="DF25" s="120"/>
    </row>
    <row r="26" spans="2:110" x14ac:dyDescent="0.3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59.466666666666669</v>
      </c>
      <c r="CC26" s="97">
        <f t="shared" si="45"/>
        <v>0</v>
      </c>
      <c r="CD26" s="43">
        <f t="shared" si="46"/>
        <v>0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0</v>
      </c>
      <c r="CX26" s="92">
        <f>IFERROR(AVERAGEIFS('Base Kpi'!$EJ:$EJ,'Base Kpi'!$EC:$EC,Cliente!$E26,'Base Kpi'!$EI:$EI,Cliente!CX$5),0)</f>
        <v>0</v>
      </c>
      <c r="CY26" s="92">
        <f>IFERROR(AVERAGEIFS('Base Kpi'!$EJ:$EJ,'Base Kpi'!$EC:$EC,Cliente!$E26,'Base Kpi'!$EI:$EI,Cliente!CY$5),0)</f>
        <v>0</v>
      </c>
      <c r="CZ26" s="92">
        <f>IFERROR(AVERAGEIFS('Base Kpi'!$EJ:$EJ,'Base Kpi'!$EC:$EC,Cliente!$E26,'Base Kpi'!$EI:$EI,Cliente!CZ$5),0)</f>
        <v>0</v>
      </c>
      <c r="DA26" s="92">
        <f>IFERROR(AVERAGEIFS('Base Kpi'!$EJ:$EJ,'Base Kpi'!$EC:$EC,Cliente!$E26,'Base Kpi'!$EI:$EI,Cliente!DA$5),0)</f>
        <v>0</v>
      </c>
      <c r="DB26" s="92">
        <f>IFERROR(AVERAGEIFS('Base Kpi'!$EJ:$EJ,'Base Kpi'!$EC:$EC,Cliente!$E26,'Base Kpi'!$EI:$EI,Cliente!DB$5),0)</f>
        <v>0</v>
      </c>
      <c r="DC26" s="92">
        <f>IFERROR(AVERAGEIFS('Base Kpi'!$EJ:$EJ,'Base Kpi'!$EC:$EC,Cliente!$E26,'Base Kpi'!$EI:$EI,Cliente!DC$5),0)</f>
        <v>0</v>
      </c>
      <c r="DD26" s="94">
        <f t="shared" si="50"/>
        <v>0</v>
      </c>
      <c r="DE26" s="95">
        <f t="shared" si="51"/>
        <v>0</v>
      </c>
      <c r="DF26" s="120"/>
    </row>
    <row r="27" spans="2:110" x14ac:dyDescent="0.3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51.95000000000001</v>
      </c>
      <c r="CC27" s="97">
        <f t="shared" si="45"/>
        <v>0</v>
      </c>
      <c r="CD27" s="43">
        <f t="shared" si="46"/>
        <v>0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0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0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0</v>
      </c>
      <c r="DB27" s="92">
        <f>IFERROR(AVERAGEIFS('Base Kpi'!$EJ:$EJ,'Base Kpi'!$EC:$EC,Cliente!$E27,'Base Kpi'!$EI:$EI,Cliente!DB$5),0)</f>
        <v>0</v>
      </c>
      <c r="DC27" s="92">
        <f>IFERROR(AVERAGEIFS('Base Kpi'!$EJ:$EJ,'Base Kpi'!$EC:$EC,Cliente!$E27,'Base Kpi'!$EI:$EI,Cliente!DC$5),0)</f>
        <v>0</v>
      </c>
      <c r="DD27" s="94">
        <f t="shared" si="50"/>
        <v>0</v>
      </c>
      <c r="DE27" s="95">
        <f t="shared" si="51"/>
        <v>0</v>
      </c>
      <c r="DF27" s="120"/>
    </row>
    <row r="28" spans="2:110" x14ac:dyDescent="0.3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58.936666666666667</v>
      </c>
      <c r="CC28" s="97">
        <f t="shared" si="45"/>
        <v>0</v>
      </c>
      <c r="CD28" s="43">
        <f t="shared" si="46"/>
        <v>0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0</v>
      </c>
      <c r="CX28" s="92">
        <f>IFERROR(AVERAGEIFS('Base Kpi'!$EJ:$EJ,'Base Kpi'!$EC:$EC,Cliente!$E28,'Base Kpi'!$EI:$EI,Cliente!CX$5),0)</f>
        <v>0</v>
      </c>
      <c r="CY28" s="92">
        <f>IFERROR(AVERAGEIFS('Base Kpi'!$EJ:$EJ,'Base Kpi'!$EC:$EC,Cliente!$E28,'Base Kpi'!$EI:$EI,Cliente!CY$5),0)</f>
        <v>0</v>
      </c>
      <c r="CZ28" s="92">
        <f>IFERROR(AVERAGEIFS('Base Kpi'!$EJ:$EJ,'Base Kpi'!$EC:$EC,Cliente!$E28,'Base Kpi'!$EI:$EI,Cliente!CZ$5),0)</f>
        <v>0</v>
      </c>
      <c r="DA28" s="92">
        <f>IFERROR(AVERAGEIFS('Base Kpi'!$EJ:$EJ,'Base Kpi'!$EC:$EC,Cliente!$E28,'Base Kpi'!$EI:$EI,Cliente!DA$5),0)</f>
        <v>0</v>
      </c>
      <c r="DB28" s="92">
        <f>IFERROR(AVERAGEIFS('Base Kpi'!$EJ:$EJ,'Base Kpi'!$EC:$EC,Cliente!$E28,'Base Kpi'!$EI:$EI,Cliente!DB$5),0)</f>
        <v>0</v>
      </c>
      <c r="DC28" s="92">
        <f>IFERROR(AVERAGEIFS('Base Kpi'!$EJ:$EJ,'Base Kpi'!$EC:$EC,Cliente!$E28,'Base Kpi'!$EI:$EI,Cliente!DC$5),0)</f>
        <v>0</v>
      </c>
      <c r="DD28" s="94">
        <f t="shared" si="50"/>
        <v>0</v>
      </c>
      <c r="DE28" s="95">
        <f t="shared" si="51"/>
        <v>0</v>
      </c>
      <c r="DF28" s="120"/>
    </row>
    <row r="29" spans="2:110" x14ac:dyDescent="0.3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62.933333333333337</v>
      </c>
      <c r="CC29" s="97">
        <f t="shared" si="45"/>
        <v>0</v>
      </c>
      <c r="CD29" s="43">
        <f t="shared" si="46"/>
        <v>0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0</v>
      </c>
      <c r="CX29" s="92">
        <f>IFERROR(AVERAGEIFS('Base Kpi'!$EJ:$EJ,'Base Kpi'!$EC:$EC,Cliente!$E29,'Base Kpi'!$EI:$EI,Cliente!CX$5),0)</f>
        <v>0</v>
      </c>
      <c r="CY29" s="92">
        <f>IFERROR(AVERAGEIFS('Base Kpi'!$EJ:$EJ,'Base Kpi'!$EC:$EC,Cliente!$E29,'Base Kpi'!$EI:$EI,Cliente!CY$5),0)</f>
        <v>0</v>
      </c>
      <c r="CZ29" s="92">
        <f>IFERROR(AVERAGEIFS('Base Kpi'!$EJ:$EJ,'Base Kpi'!$EC:$EC,Cliente!$E29,'Base Kpi'!$EI:$EI,Cliente!CZ$5),0)</f>
        <v>0</v>
      </c>
      <c r="DA29" s="92">
        <f>IFERROR(AVERAGEIFS('Base Kpi'!$EJ:$EJ,'Base Kpi'!$EC:$EC,Cliente!$E29,'Base Kpi'!$EI:$EI,Cliente!DA$5),0)</f>
        <v>0</v>
      </c>
      <c r="DB29" s="92">
        <f>IFERROR(AVERAGEIFS('Base Kpi'!$EJ:$EJ,'Base Kpi'!$EC:$EC,Cliente!$E29,'Base Kpi'!$EI:$EI,Cliente!DB$5),0)</f>
        <v>0</v>
      </c>
      <c r="DC29" s="92">
        <f>IFERROR(AVERAGEIFS('Base Kpi'!$EJ:$EJ,'Base Kpi'!$EC:$EC,Cliente!$E29,'Base Kpi'!$EI:$EI,Cliente!DC$5),0)</f>
        <v>0</v>
      </c>
      <c r="DD29" s="94">
        <f t="shared" si="50"/>
        <v>0</v>
      </c>
      <c r="DE29" s="95">
        <f t="shared" si="51"/>
        <v>0</v>
      </c>
      <c r="DF29" s="120"/>
    </row>
    <row r="30" spans="2:110" x14ac:dyDescent="0.3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64</v>
      </c>
      <c r="CC30" s="97">
        <f t="shared" si="45"/>
        <v>0</v>
      </c>
      <c r="CD30" s="43">
        <f t="shared" si="46"/>
        <v>0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0</v>
      </c>
      <c r="CX30" s="92">
        <f>IFERROR(AVERAGEIFS('Base Kpi'!$EJ:$EJ,'Base Kpi'!$EC:$EC,Cliente!$E30,'Base Kpi'!$EI:$EI,Cliente!CX$5),0)</f>
        <v>0</v>
      </c>
      <c r="CY30" s="92">
        <f>IFERROR(AVERAGEIFS('Base Kpi'!$EJ:$EJ,'Base Kpi'!$EC:$EC,Cliente!$E30,'Base Kpi'!$EI:$EI,Cliente!CY$5),0)</f>
        <v>0</v>
      </c>
      <c r="CZ30" s="92">
        <f>IFERROR(AVERAGEIFS('Base Kpi'!$EJ:$EJ,'Base Kpi'!$EC:$EC,Cliente!$E30,'Base Kpi'!$EI:$EI,Cliente!CZ$5),0)</f>
        <v>0</v>
      </c>
      <c r="DA30" s="92">
        <f>IFERROR(AVERAGEIFS('Base Kpi'!$EJ:$EJ,'Base Kpi'!$EC:$EC,Cliente!$E30,'Base Kpi'!$EI:$EI,Cliente!DA$5),0)</f>
        <v>0</v>
      </c>
      <c r="DB30" s="92">
        <f>IFERROR(AVERAGEIFS('Base Kpi'!$EJ:$EJ,'Base Kpi'!$EC:$EC,Cliente!$E30,'Base Kpi'!$EI:$EI,Cliente!DB$5),0)</f>
        <v>0</v>
      </c>
      <c r="DC30" s="92">
        <f>IFERROR(AVERAGEIFS('Base Kpi'!$EJ:$EJ,'Base Kpi'!$EC:$EC,Cliente!$E30,'Base Kpi'!$EI:$EI,Cliente!DC$5),0)</f>
        <v>0</v>
      </c>
      <c r="DD30" s="94">
        <f t="shared" si="50"/>
        <v>0</v>
      </c>
      <c r="DE30" s="95">
        <f t="shared" si="51"/>
        <v>0</v>
      </c>
      <c r="DF30" s="120"/>
    </row>
    <row r="31" spans="2:110" x14ac:dyDescent="0.3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61.266666666666673</v>
      </c>
      <c r="CC31" s="97">
        <f t="shared" si="45"/>
        <v>0</v>
      </c>
      <c r="CD31" s="43">
        <f t="shared" si="46"/>
        <v>0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0</v>
      </c>
      <c r="CX31" s="92">
        <f>IFERROR(AVERAGEIFS('Base Kpi'!$EJ:$EJ,'Base Kpi'!$EC:$EC,Cliente!$E31,'Base Kpi'!$EI:$EI,Cliente!CX$5),0)</f>
        <v>0</v>
      </c>
      <c r="CY31" s="92">
        <f>IFERROR(AVERAGEIFS('Base Kpi'!$EJ:$EJ,'Base Kpi'!$EC:$EC,Cliente!$E31,'Base Kpi'!$EI:$EI,Cliente!CY$5),0)</f>
        <v>0</v>
      </c>
      <c r="CZ31" s="92">
        <f>IFERROR(AVERAGEIFS('Base Kpi'!$EJ:$EJ,'Base Kpi'!$EC:$EC,Cliente!$E31,'Base Kpi'!$EI:$EI,Cliente!CZ$5),0)</f>
        <v>0</v>
      </c>
      <c r="DA31" s="92">
        <f>IFERROR(AVERAGEIFS('Base Kpi'!$EJ:$EJ,'Base Kpi'!$EC:$EC,Cliente!$E31,'Base Kpi'!$EI:$EI,Cliente!DA$5),0)</f>
        <v>0</v>
      </c>
      <c r="DB31" s="92">
        <f>IFERROR(AVERAGEIFS('Base Kpi'!$EJ:$EJ,'Base Kpi'!$EC:$EC,Cliente!$E31,'Base Kpi'!$EI:$EI,Cliente!DB$5),0)</f>
        <v>0</v>
      </c>
      <c r="DC31" s="92">
        <f>IFERROR(AVERAGEIFS('Base Kpi'!$EJ:$EJ,'Base Kpi'!$EC:$EC,Cliente!$E31,'Base Kpi'!$EI:$EI,Cliente!DC$5),0)</f>
        <v>0</v>
      </c>
      <c r="DD31" s="94">
        <f t="shared" si="50"/>
        <v>0</v>
      </c>
      <c r="DE31" s="95">
        <f t="shared" si="51"/>
        <v>0</v>
      </c>
      <c r="DF31" s="120"/>
    </row>
    <row r="32" spans="2:110" x14ac:dyDescent="0.3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59.20000000000001</v>
      </c>
      <c r="CC32" s="97">
        <f t="shared" si="45"/>
        <v>0</v>
      </c>
      <c r="CD32" s="43">
        <f t="shared" si="46"/>
        <v>0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0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0</v>
      </c>
      <c r="CZ32" s="92">
        <f>IFERROR(AVERAGEIFS('Base Kpi'!$EJ:$EJ,'Base Kpi'!$EC:$EC,Cliente!$E32,'Base Kpi'!$EI:$EI,Cliente!CZ$5),0)</f>
        <v>0</v>
      </c>
      <c r="DA32" s="92">
        <f>IFERROR(AVERAGEIFS('Base Kpi'!$EJ:$EJ,'Base Kpi'!$EC:$EC,Cliente!$E32,'Base Kpi'!$EI:$EI,Cliente!DA$5),0)</f>
        <v>0</v>
      </c>
      <c r="DB32" s="92">
        <f>IFERROR(AVERAGEIFS('Base Kpi'!$EJ:$EJ,'Base Kpi'!$EC:$EC,Cliente!$E32,'Base Kpi'!$EI:$EI,Cliente!DB$5),0)</f>
        <v>0</v>
      </c>
      <c r="DC32" s="92">
        <f>IFERROR(AVERAGEIFS('Base Kpi'!$EJ:$EJ,'Base Kpi'!$EC:$EC,Cliente!$E32,'Base Kpi'!$EI:$EI,Cliente!DC$5),0)</f>
        <v>0</v>
      </c>
      <c r="DD32" s="94">
        <f t="shared" si="50"/>
        <v>0</v>
      </c>
      <c r="DE32" s="95">
        <f t="shared" si="51"/>
        <v>0</v>
      </c>
      <c r="DF32" s="120"/>
    </row>
    <row r="33" spans="2:110" x14ac:dyDescent="0.3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3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3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61.6</v>
      </c>
      <c r="CC35" s="97">
        <f t="shared" si="45"/>
        <v>0</v>
      </c>
      <c r="CD35" s="43">
        <f t="shared" si="46"/>
        <v>0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0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0</v>
      </c>
      <c r="CZ35" s="92">
        <f>IFERROR(AVERAGEIFS('Base Kpi'!$EJ:$EJ,'Base Kpi'!$EC:$EC,Cliente!$E35,'Base Kpi'!$EI:$EI,Cliente!CZ$5),0)</f>
        <v>0</v>
      </c>
      <c r="DA35" s="92">
        <f>IFERROR(AVERAGEIFS('Base Kpi'!$EJ:$EJ,'Base Kpi'!$EC:$EC,Cliente!$E35,'Base Kpi'!$EI:$EI,Cliente!DA$5),0)</f>
        <v>0</v>
      </c>
      <c r="DB35" s="92">
        <f>IFERROR(AVERAGEIFS('Base Kpi'!$EJ:$EJ,'Base Kpi'!$EC:$EC,Cliente!$E35,'Base Kpi'!$EI:$EI,Cliente!DB$5),0)</f>
        <v>0</v>
      </c>
      <c r="DC35" s="92">
        <f>IFERROR(AVERAGEIFS('Base Kpi'!$EJ:$EJ,'Base Kpi'!$EC:$EC,Cliente!$E35,'Base Kpi'!$EI:$EI,Cliente!DC$5),0)</f>
        <v>0</v>
      </c>
      <c r="DD35" s="94">
        <f t="shared" si="50"/>
        <v>0</v>
      </c>
      <c r="DE35" s="95">
        <f t="shared" si="51"/>
        <v>0</v>
      </c>
      <c r="DF35" s="120"/>
    </row>
    <row r="36" spans="2:110" x14ac:dyDescent="0.3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3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3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3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48.199999999999996</v>
      </c>
      <c r="CC39" s="97">
        <f t="shared" si="65"/>
        <v>0</v>
      </c>
      <c r="CD39" s="43">
        <f t="shared" si="66"/>
        <v>0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0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0</v>
      </c>
      <c r="CZ39" s="92">
        <f>IFERROR(AVERAGEIFS('Base Kpi'!$EJ:$EJ,'Base Kpi'!$EC:$EC,Cliente!$E39,'Base Kpi'!$EI:$EI,Cliente!CZ$5),0)</f>
        <v>0</v>
      </c>
      <c r="DA39" s="92">
        <f>IFERROR(AVERAGEIFS('Base Kpi'!$EJ:$EJ,'Base Kpi'!$EC:$EC,Cliente!$E39,'Base Kpi'!$EI:$EI,Cliente!DA$5),0)</f>
        <v>0</v>
      </c>
      <c r="DB39" s="92">
        <f>IFERROR(AVERAGEIFS('Base Kpi'!$EJ:$EJ,'Base Kpi'!$EC:$EC,Cliente!$E39,'Base Kpi'!$EI:$EI,Cliente!DB$5),0)</f>
        <v>0</v>
      </c>
      <c r="DC39" s="92">
        <f>IFERROR(AVERAGEIFS('Base Kpi'!$EJ:$EJ,'Base Kpi'!$EC:$EC,Cliente!$E39,'Base Kpi'!$EI:$EI,Cliente!DC$5),0)</f>
        <v>0</v>
      </c>
      <c r="DD39" s="94">
        <f t="shared" si="69"/>
        <v>0</v>
      </c>
      <c r="DE39" s="95">
        <f t="shared" si="70"/>
        <v>0</v>
      </c>
      <c r="DF39" s="120"/>
    </row>
    <row r="40" spans="2:110" x14ac:dyDescent="0.3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47.933333333333337</v>
      </c>
      <c r="CC40" s="97">
        <f t="shared" si="65"/>
        <v>0</v>
      </c>
      <c r="CD40" s="43">
        <f t="shared" si="66"/>
        <v>0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0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0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0</v>
      </c>
      <c r="DB40" s="92">
        <f>IFERROR(AVERAGEIFS('Base Kpi'!$EJ:$EJ,'Base Kpi'!$EC:$EC,Cliente!$E40,'Base Kpi'!$EI:$EI,Cliente!DB$5),0)</f>
        <v>0</v>
      </c>
      <c r="DC40" s="92">
        <f>IFERROR(AVERAGEIFS('Base Kpi'!$EJ:$EJ,'Base Kpi'!$EC:$EC,Cliente!$E40,'Base Kpi'!$EI:$EI,Cliente!DC$5),0)</f>
        <v>0</v>
      </c>
      <c r="DD40" s="94">
        <f t="shared" si="69"/>
        <v>0</v>
      </c>
      <c r="DE40" s="95">
        <f t="shared" si="70"/>
        <v>0</v>
      </c>
      <c r="DF40" s="120"/>
    </row>
    <row r="41" spans="2:110" x14ac:dyDescent="0.3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3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44.808333333333337</v>
      </c>
      <c r="CC42" s="97">
        <f t="shared" si="65"/>
        <v>0</v>
      </c>
      <c r="CD42" s="43">
        <f t="shared" si="66"/>
        <v>0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0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0</v>
      </c>
      <c r="DA42" s="92">
        <f>IFERROR(AVERAGEIFS('Base Kpi'!$EJ:$EJ,'Base Kpi'!$EC:$EC,Cliente!$E42,'Base Kpi'!$EI:$EI,Cliente!DA$5),0)</f>
        <v>0</v>
      </c>
      <c r="DB42" s="92">
        <f>IFERROR(AVERAGEIFS('Base Kpi'!$EJ:$EJ,'Base Kpi'!$EC:$EC,Cliente!$E42,'Base Kpi'!$EI:$EI,Cliente!DB$5),0)</f>
        <v>0</v>
      </c>
      <c r="DC42" s="92">
        <f>IFERROR(AVERAGEIFS('Base Kpi'!$EJ:$EJ,'Base Kpi'!$EC:$EC,Cliente!$E42,'Base Kpi'!$EI:$EI,Cliente!DC$5),0)</f>
        <v>0</v>
      </c>
      <c r="DD42" s="94">
        <f t="shared" si="69"/>
        <v>0</v>
      </c>
      <c r="DE42" s="95">
        <f t="shared" si="70"/>
        <v>0</v>
      </c>
      <c r="DF42" s="120"/>
    </row>
    <row r="43" spans="2:110" x14ac:dyDescent="0.3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40.733333333333334</v>
      </c>
      <c r="CC43" s="97">
        <f t="shared" si="65"/>
        <v>0</v>
      </c>
      <c r="CD43" s="43">
        <f t="shared" si="66"/>
        <v>0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0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0</v>
      </c>
      <c r="CZ43" s="92">
        <f>IFERROR(AVERAGEIFS('Base Kpi'!$EJ:$EJ,'Base Kpi'!$EC:$EC,Cliente!$E43,'Base Kpi'!$EI:$EI,Cliente!CZ$5),0)</f>
        <v>0</v>
      </c>
      <c r="DA43" s="92">
        <f>IFERROR(AVERAGEIFS('Base Kpi'!$EJ:$EJ,'Base Kpi'!$EC:$EC,Cliente!$E43,'Base Kpi'!$EI:$EI,Cliente!DA$5),0)</f>
        <v>0</v>
      </c>
      <c r="DB43" s="92">
        <f>IFERROR(AVERAGEIFS('Base Kpi'!$EJ:$EJ,'Base Kpi'!$EC:$EC,Cliente!$E43,'Base Kpi'!$EI:$EI,Cliente!DB$5),0)</f>
        <v>0</v>
      </c>
      <c r="DC43" s="92">
        <f>IFERROR(AVERAGEIFS('Base Kpi'!$EJ:$EJ,'Base Kpi'!$EC:$EC,Cliente!$E43,'Base Kpi'!$EI:$EI,Cliente!DC$5),0)</f>
        <v>0</v>
      </c>
      <c r="DD43" s="94">
        <f t="shared" si="69"/>
        <v>0</v>
      </c>
      <c r="DE43" s="95">
        <f t="shared" si="70"/>
        <v>0</v>
      </c>
      <c r="DF43" s="120"/>
    </row>
    <row r="44" spans="2:110" x14ac:dyDescent="0.3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45.333333333333336</v>
      </c>
      <c r="CC44" s="97">
        <f t="shared" si="65"/>
        <v>0</v>
      </c>
      <c r="CD44" s="43">
        <f t="shared" si="66"/>
        <v>0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0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0</v>
      </c>
      <c r="CZ44" s="92">
        <f>IFERROR(AVERAGEIFS('Base Kpi'!$EJ:$EJ,'Base Kpi'!$EC:$EC,Cliente!$E44,'Base Kpi'!$EI:$EI,Cliente!CZ$5),0)</f>
        <v>0</v>
      </c>
      <c r="DA44" s="92">
        <f>IFERROR(AVERAGEIFS('Base Kpi'!$EJ:$EJ,'Base Kpi'!$EC:$EC,Cliente!$E44,'Base Kpi'!$EI:$EI,Cliente!DA$5),0)</f>
        <v>0</v>
      </c>
      <c r="DB44" s="92">
        <f>IFERROR(AVERAGEIFS('Base Kpi'!$EJ:$EJ,'Base Kpi'!$EC:$EC,Cliente!$E44,'Base Kpi'!$EI:$EI,Cliente!DB$5),0)</f>
        <v>0</v>
      </c>
      <c r="DC44" s="92">
        <f>IFERROR(AVERAGEIFS('Base Kpi'!$EJ:$EJ,'Base Kpi'!$EC:$EC,Cliente!$E44,'Base Kpi'!$EI:$EI,Cliente!DC$5),0)</f>
        <v>0</v>
      </c>
      <c r="DD44" s="94">
        <f t="shared" si="69"/>
        <v>0</v>
      </c>
      <c r="DE44" s="95">
        <f t="shared" si="70"/>
        <v>0</v>
      </c>
      <c r="DF44" s="120"/>
    </row>
    <row r="45" spans="2:110" x14ac:dyDescent="0.3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64.533333333333331</v>
      </c>
      <c r="CC45" s="97">
        <f t="shared" si="65"/>
        <v>0</v>
      </c>
      <c r="CD45" s="43">
        <f t="shared" si="66"/>
        <v>0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0</v>
      </c>
      <c r="CX45" s="92">
        <f>IFERROR(AVERAGEIFS('Base Kpi'!$EJ:$EJ,'Base Kpi'!$EC:$EC,Cliente!$E45,'Base Kpi'!$EI:$EI,Cliente!CX$5),0)</f>
        <v>0</v>
      </c>
      <c r="CY45" s="92">
        <f>IFERROR(AVERAGEIFS('Base Kpi'!$EJ:$EJ,'Base Kpi'!$EC:$EC,Cliente!$E45,'Base Kpi'!$EI:$EI,Cliente!CY$5),0)</f>
        <v>0</v>
      </c>
      <c r="CZ45" s="92">
        <f>IFERROR(AVERAGEIFS('Base Kpi'!$EJ:$EJ,'Base Kpi'!$EC:$EC,Cliente!$E45,'Base Kpi'!$EI:$EI,Cliente!CZ$5),0)</f>
        <v>0</v>
      </c>
      <c r="DA45" s="92">
        <f>IFERROR(AVERAGEIFS('Base Kpi'!$EJ:$EJ,'Base Kpi'!$EC:$EC,Cliente!$E45,'Base Kpi'!$EI:$EI,Cliente!DA$5),0)</f>
        <v>0</v>
      </c>
      <c r="DB45" s="92">
        <f>IFERROR(AVERAGEIFS('Base Kpi'!$EJ:$EJ,'Base Kpi'!$EC:$EC,Cliente!$E45,'Base Kpi'!$EI:$EI,Cliente!DB$5),0)</f>
        <v>0</v>
      </c>
      <c r="DC45" s="92">
        <f>IFERROR(AVERAGEIFS('Base Kpi'!$EJ:$EJ,'Base Kpi'!$EC:$EC,Cliente!$E45,'Base Kpi'!$EI:$EI,Cliente!DC$5),0)</f>
        <v>0</v>
      </c>
      <c r="DD45" s="94">
        <f t="shared" si="69"/>
        <v>0</v>
      </c>
      <c r="DE45" s="95">
        <f t="shared" si="70"/>
        <v>0</v>
      </c>
      <c r="DF45" s="120"/>
    </row>
    <row r="46" spans="2:110" x14ac:dyDescent="0.3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63.866666666666667</v>
      </c>
      <c r="CC46" s="97">
        <f t="shared" si="65"/>
        <v>0</v>
      </c>
      <c r="CD46" s="43">
        <f t="shared" si="66"/>
        <v>0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0</v>
      </c>
      <c r="CX46" s="92">
        <f>IFERROR(AVERAGEIFS('Base Kpi'!$EJ:$EJ,'Base Kpi'!$EC:$EC,Cliente!$E46,'Base Kpi'!$EI:$EI,Cliente!CX$5),0)</f>
        <v>0</v>
      </c>
      <c r="CY46" s="92">
        <f>IFERROR(AVERAGEIFS('Base Kpi'!$EJ:$EJ,'Base Kpi'!$EC:$EC,Cliente!$E46,'Base Kpi'!$EI:$EI,Cliente!CY$5),0)</f>
        <v>0</v>
      </c>
      <c r="CZ46" s="92">
        <f>IFERROR(AVERAGEIFS('Base Kpi'!$EJ:$EJ,'Base Kpi'!$EC:$EC,Cliente!$E46,'Base Kpi'!$EI:$EI,Cliente!CZ$5),0)</f>
        <v>0</v>
      </c>
      <c r="DA46" s="92">
        <f>IFERROR(AVERAGEIFS('Base Kpi'!$EJ:$EJ,'Base Kpi'!$EC:$EC,Cliente!$E46,'Base Kpi'!$EI:$EI,Cliente!DA$5),0)</f>
        <v>0</v>
      </c>
      <c r="DB46" s="92">
        <f>IFERROR(AVERAGEIFS('Base Kpi'!$EJ:$EJ,'Base Kpi'!$EC:$EC,Cliente!$E46,'Base Kpi'!$EI:$EI,Cliente!DB$5),0)</f>
        <v>0</v>
      </c>
      <c r="DC46" s="92">
        <f>IFERROR(AVERAGEIFS('Base Kpi'!$EJ:$EJ,'Base Kpi'!$EC:$EC,Cliente!$E46,'Base Kpi'!$EI:$EI,Cliente!DC$5),0)</f>
        <v>0</v>
      </c>
      <c r="DD46" s="94">
        <f t="shared" si="69"/>
        <v>0</v>
      </c>
      <c r="DE46" s="95">
        <f t="shared" si="70"/>
        <v>0</v>
      </c>
      <c r="DF46" s="120"/>
    </row>
    <row r="47" spans="2:110" x14ac:dyDescent="0.3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58.07500000000001</v>
      </c>
      <c r="CC47" s="97">
        <f t="shared" si="65"/>
        <v>0</v>
      </c>
      <c r="CD47" s="43">
        <f t="shared" si="66"/>
        <v>0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0</v>
      </c>
      <c r="CX47" s="92">
        <f>IFERROR(AVERAGEIFS('Base Kpi'!$EJ:$EJ,'Base Kpi'!$EC:$EC,Cliente!$E47,'Base Kpi'!$EI:$EI,Cliente!CX$5),0)</f>
        <v>0</v>
      </c>
      <c r="CY47" s="92">
        <f>IFERROR(AVERAGEIFS('Base Kpi'!$EJ:$EJ,'Base Kpi'!$EC:$EC,Cliente!$E47,'Base Kpi'!$EI:$EI,Cliente!CY$5),0)</f>
        <v>0</v>
      </c>
      <c r="CZ47" s="92">
        <f>IFERROR(AVERAGEIFS('Base Kpi'!$EJ:$EJ,'Base Kpi'!$EC:$EC,Cliente!$E47,'Base Kpi'!$EI:$EI,Cliente!CZ$5),0)</f>
        <v>0</v>
      </c>
      <c r="DA47" s="92">
        <f>IFERROR(AVERAGEIFS('Base Kpi'!$EJ:$EJ,'Base Kpi'!$EC:$EC,Cliente!$E47,'Base Kpi'!$EI:$EI,Cliente!DA$5),0)</f>
        <v>0</v>
      </c>
      <c r="DB47" s="92">
        <f>IFERROR(AVERAGEIFS('Base Kpi'!$EJ:$EJ,'Base Kpi'!$EC:$EC,Cliente!$E47,'Base Kpi'!$EI:$EI,Cliente!DB$5),0)</f>
        <v>0</v>
      </c>
      <c r="DC47" s="92">
        <f>IFERROR(AVERAGEIFS('Base Kpi'!$EJ:$EJ,'Base Kpi'!$EC:$EC,Cliente!$E47,'Base Kpi'!$EI:$EI,Cliente!DC$5),0)</f>
        <v>0</v>
      </c>
      <c r="DD47" s="94">
        <f t="shared" si="69"/>
        <v>0</v>
      </c>
      <c r="DE47" s="95">
        <f t="shared" si="70"/>
        <v>0</v>
      </c>
      <c r="DF47" s="120"/>
    </row>
    <row r="48" spans="2:110" x14ac:dyDescent="0.3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29.541666666666668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0</v>
      </c>
      <c r="CX48" s="92">
        <f>IFERROR(AVERAGEIFS('Base Kpi'!$EJ:$EJ,'Base Kpi'!$EC:$EC,Cliente!$E48,'Base Kpi'!$EI:$EI,Cliente!CX$5),0)</f>
        <v>0</v>
      </c>
      <c r="CY48" s="92">
        <f>IFERROR(AVERAGEIFS('Base Kpi'!$EJ:$EJ,'Base Kpi'!$EC:$EC,Cliente!$E48,'Base Kpi'!$EI:$EI,Cliente!CY$5),0)</f>
        <v>0</v>
      </c>
      <c r="CZ48" s="92">
        <f>IFERROR(AVERAGEIFS('Base Kpi'!$EJ:$EJ,'Base Kpi'!$EC:$EC,Cliente!$E48,'Base Kpi'!$EI:$EI,Cliente!CZ$5),0)</f>
        <v>0</v>
      </c>
      <c r="DA48" s="92">
        <f>IFERROR(AVERAGEIFS('Base Kpi'!$EJ:$EJ,'Base Kpi'!$EC:$EC,Cliente!$E48,'Base Kpi'!$EI:$EI,Cliente!DA$5),0)</f>
        <v>0</v>
      </c>
      <c r="DB48" s="92">
        <f>IFERROR(AVERAGEIFS('Base Kpi'!$EJ:$EJ,'Base Kpi'!$EC:$EC,Cliente!$E48,'Base Kpi'!$EI:$EI,Cliente!DB$5),0)</f>
        <v>0</v>
      </c>
      <c r="DC48" s="92">
        <f>IFERROR(AVERAGEIFS('Base Kpi'!$EJ:$EJ,'Base Kpi'!$EC:$EC,Cliente!$E48,'Base Kpi'!$EI:$EI,Cliente!DC$5),0)</f>
        <v>0</v>
      </c>
      <c r="DD48" s="94">
        <f t="shared" si="69"/>
        <v>0</v>
      </c>
      <c r="DE48" s="95">
        <f t="shared" si="70"/>
        <v>0</v>
      </c>
      <c r="DF48" s="120"/>
    </row>
    <row r="49" spans="2:110" x14ac:dyDescent="0.3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59.741666666666674</v>
      </c>
      <c r="CC49" s="97">
        <f t="shared" si="65"/>
        <v>0</v>
      </c>
      <c r="CD49" s="43">
        <f t="shared" si="66"/>
        <v>0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0</v>
      </c>
      <c r="CX49" s="92">
        <f>IFERROR(AVERAGEIFS('Base Kpi'!$EJ:$EJ,'Base Kpi'!$EC:$EC,Cliente!$E49,'Base Kpi'!$EI:$EI,Cliente!CX$5),0)</f>
        <v>0</v>
      </c>
      <c r="CY49" s="92">
        <f>IFERROR(AVERAGEIFS('Base Kpi'!$EJ:$EJ,'Base Kpi'!$EC:$EC,Cliente!$E49,'Base Kpi'!$EI:$EI,Cliente!CY$5),0)</f>
        <v>0</v>
      </c>
      <c r="CZ49" s="92">
        <f>IFERROR(AVERAGEIFS('Base Kpi'!$EJ:$EJ,'Base Kpi'!$EC:$EC,Cliente!$E49,'Base Kpi'!$EI:$EI,Cliente!CZ$5),0)</f>
        <v>0</v>
      </c>
      <c r="DA49" s="92">
        <f>IFERROR(AVERAGEIFS('Base Kpi'!$EJ:$EJ,'Base Kpi'!$EC:$EC,Cliente!$E49,'Base Kpi'!$EI:$EI,Cliente!DA$5),0)</f>
        <v>0</v>
      </c>
      <c r="DB49" s="92">
        <f>IFERROR(AVERAGEIFS('Base Kpi'!$EJ:$EJ,'Base Kpi'!$EC:$EC,Cliente!$E49,'Base Kpi'!$EI:$EI,Cliente!DB$5),0)</f>
        <v>0</v>
      </c>
      <c r="DC49" s="92">
        <f>IFERROR(AVERAGEIFS('Base Kpi'!$EJ:$EJ,'Base Kpi'!$EC:$EC,Cliente!$E49,'Base Kpi'!$EI:$EI,Cliente!DC$5),0)</f>
        <v>0</v>
      </c>
      <c r="DD49" s="94">
        <f t="shared" si="69"/>
        <v>0</v>
      </c>
      <c r="DE49" s="95">
        <f t="shared" si="70"/>
        <v>0</v>
      </c>
      <c r="DF49" s="120"/>
    </row>
    <row r="50" spans="2:110" x14ac:dyDescent="0.3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3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 t="str">
        <f t="shared" si="64"/>
        <v/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0</v>
      </c>
      <c r="CX51" s="92">
        <f>IFERROR(AVERAGEIFS('Base Kpi'!$EJ:$EJ,'Base Kpi'!$EC:$EC,Cliente!$E51,'Base Kpi'!$EI:$EI,Cliente!CX$5),0)</f>
        <v>0</v>
      </c>
      <c r="CY51" s="92">
        <f>IFERROR(AVERAGEIFS('Base Kpi'!$EJ:$EJ,'Base Kpi'!$EC:$EC,Cliente!$E51,'Base Kpi'!$EI:$EI,Cliente!CY$5),0)</f>
        <v>0</v>
      </c>
      <c r="CZ51" s="92">
        <f>IFERROR(AVERAGEIFS('Base Kpi'!$EJ:$EJ,'Base Kpi'!$EC:$EC,Cliente!$E51,'Base Kpi'!$EI:$EI,Cliente!CZ$5),0)</f>
        <v>0</v>
      </c>
      <c r="DA51" s="92">
        <f>IFERROR(AVERAGEIFS('Base Kpi'!$EJ:$EJ,'Base Kpi'!$EC:$EC,Cliente!$E51,'Base Kpi'!$EI:$EI,Cliente!DA$5),0)</f>
        <v>0</v>
      </c>
      <c r="DB51" s="92">
        <f>IFERROR(AVERAGEIFS('Base Kpi'!$EJ:$EJ,'Base Kpi'!$EC:$EC,Cliente!$E51,'Base Kpi'!$EI:$EI,Cliente!DB$5),0)</f>
        <v>0</v>
      </c>
      <c r="DC51" s="92">
        <f>IFERROR(AVERAGEIFS('Base Kpi'!$EJ:$EJ,'Base Kpi'!$EC:$EC,Cliente!$E51,'Base Kpi'!$EI:$EI,Cliente!DC$5),0)</f>
        <v>0</v>
      </c>
      <c r="DD51" s="94">
        <f t="shared" si="69"/>
        <v>0</v>
      </c>
      <c r="DE51" s="95">
        <f t="shared" si="70"/>
        <v>0</v>
      </c>
      <c r="DF51" s="120"/>
    </row>
    <row r="52" spans="2:110" x14ac:dyDescent="0.3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32.208333333333336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0</v>
      </c>
      <c r="CX52" s="92">
        <f>IFERROR(AVERAGEIFS('Base Kpi'!$EJ:$EJ,'Base Kpi'!$EC:$EC,Cliente!$E52,'Base Kpi'!$EI:$EI,Cliente!CX$5),0)</f>
        <v>0</v>
      </c>
      <c r="CY52" s="92">
        <f>IFERROR(AVERAGEIFS('Base Kpi'!$EJ:$EJ,'Base Kpi'!$EC:$EC,Cliente!$E52,'Base Kpi'!$EI:$EI,Cliente!CY$5),0)</f>
        <v>0</v>
      </c>
      <c r="CZ52" s="92">
        <f>IFERROR(AVERAGEIFS('Base Kpi'!$EJ:$EJ,'Base Kpi'!$EC:$EC,Cliente!$E52,'Base Kpi'!$EI:$EI,Cliente!CZ$5),0)</f>
        <v>0</v>
      </c>
      <c r="DA52" s="92">
        <f>IFERROR(AVERAGEIFS('Base Kpi'!$EJ:$EJ,'Base Kpi'!$EC:$EC,Cliente!$E52,'Base Kpi'!$EI:$EI,Cliente!DA$5),0)</f>
        <v>0</v>
      </c>
      <c r="DB52" s="92">
        <f>IFERROR(AVERAGEIFS('Base Kpi'!$EJ:$EJ,'Base Kpi'!$EC:$EC,Cliente!$E52,'Base Kpi'!$EI:$EI,Cliente!DB$5),0)</f>
        <v>0</v>
      </c>
      <c r="DC52" s="92">
        <f>IFERROR(AVERAGEIFS('Base Kpi'!$EJ:$EJ,'Base Kpi'!$EC:$EC,Cliente!$E52,'Base Kpi'!$EI:$EI,Cliente!DC$5),0)</f>
        <v>0</v>
      </c>
      <c r="DD52" s="94">
        <f t="shared" si="69"/>
        <v>0</v>
      </c>
      <c r="DE52" s="95">
        <f t="shared" si="70"/>
        <v>0</v>
      </c>
      <c r="DF52" s="120"/>
    </row>
    <row r="53" spans="2:110" x14ac:dyDescent="0.3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62.933333333333337</v>
      </c>
      <c r="CC53" s="97">
        <f t="shared" si="65"/>
        <v>0</v>
      </c>
      <c r="CD53" s="43">
        <f t="shared" si="66"/>
        <v>0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0</v>
      </c>
      <c r="CX53" s="92">
        <f>IFERROR(AVERAGEIFS('Base Kpi'!$EJ:$EJ,'Base Kpi'!$EC:$EC,Cliente!$E53,'Base Kpi'!$EI:$EI,Cliente!CX$5),0)</f>
        <v>0</v>
      </c>
      <c r="CY53" s="92">
        <f>IFERROR(AVERAGEIFS('Base Kpi'!$EJ:$EJ,'Base Kpi'!$EC:$EC,Cliente!$E53,'Base Kpi'!$EI:$EI,Cliente!CY$5),0)</f>
        <v>0</v>
      </c>
      <c r="CZ53" s="92">
        <f>IFERROR(AVERAGEIFS('Base Kpi'!$EJ:$EJ,'Base Kpi'!$EC:$EC,Cliente!$E53,'Base Kpi'!$EI:$EI,Cliente!CZ$5),0)</f>
        <v>0</v>
      </c>
      <c r="DA53" s="92">
        <f>IFERROR(AVERAGEIFS('Base Kpi'!$EJ:$EJ,'Base Kpi'!$EC:$EC,Cliente!$E53,'Base Kpi'!$EI:$EI,Cliente!DA$5),0)</f>
        <v>0</v>
      </c>
      <c r="DB53" s="92">
        <f>IFERROR(AVERAGEIFS('Base Kpi'!$EJ:$EJ,'Base Kpi'!$EC:$EC,Cliente!$E53,'Base Kpi'!$EI:$EI,Cliente!DB$5),0)</f>
        <v>0</v>
      </c>
      <c r="DC53" s="92">
        <f>IFERROR(AVERAGEIFS('Base Kpi'!$EJ:$EJ,'Base Kpi'!$EC:$EC,Cliente!$E53,'Base Kpi'!$EI:$EI,Cliente!DC$5),0)</f>
        <v>0</v>
      </c>
      <c r="DD53" s="94">
        <f t="shared" si="69"/>
        <v>0</v>
      </c>
      <c r="DE53" s="95">
        <f t="shared" si="70"/>
        <v>0</v>
      </c>
      <c r="DF53" s="120"/>
    </row>
    <row r="54" spans="2:110" x14ac:dyDescent="0.3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 t="str">
        <f t="shared" si="64"/>
        <v/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0</v>
      </c>
      <c r="CX54" s="92">
        <f>IFERROR(AVERAGEIFS('Base Kpi'!$EJ:$EJ,'Base Kpi'!$EC:$EC,Cliente!$E54,'Base Kpi'!$EI:$EI,Cliente!CX$5),0)</f>
        <v>0</v>
      </c>
      <c r="CY54" s="92">
        <f>IFERROR(AVERAGEIFS('Base Kpi'!$EJ:$EJ,'Base Kpi'!$EC:$EC,Cliente!$E54,'Base Kpi'!$EI:$EI,Cliente!CY$5),0)</f>
        <v>0</v>
      </c>
      <c r="CZ54" s="92">
        <f>IFERROR(AVERAGEIFS('Base Kpi'!$EJ:$EJ,'Base Kpi'!$EC:$EC,Cliente!$E54,'Base Kpi'!$EI:$EI,Cliente!CZ$5),0)</f>
        <v>0</v>
      </c>
      <c r="DA54" s="92">
        <f>IFERROR(AVERAGEIFS('Base Kpi'!$EJ:$EJ,'Base Kpi'!$EC:$EC,Cliente!$E54,'Base Kpi'!$EI:$EI,Cliente!DA$5),0)</f>
        <v>0</v>
      </c>
      <c r="DB54" s="92">
        <f>IFERROR(AVERAGEIFS('Base Kpi'!$EJ:$EJ,'Base Kpi'!$EC:$EC,Cliente!$E54,'Base Kpi'!$EI:$EI,Cliente!DB$5),0)</f>
        <v>0</v>
      </c>
      <c r="DC54" s="92">
        <f>IFERROR(AVERAGEIFS('Base Kpi'!$EJ:$EJ,'Base Kpi'!$EC:$EC,Cliente!$E54,'Base Kpi'!$EI:$EI,Cliente!DC$5),0)</f>
        <v>0</v>
      </c>
      <c r="DD54" s="94">
        <f t="shared" si="69"/>
        <v>0</v>
      </c>
      <c r="DE54" s="95">
        <f t="shared" si="70"/>
        <v>0</v>
      </c>
      <c r="DF54" s="120"/>
    </row>
    <row r="55" spans="2:110" x14ac:dyDescent="0.3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32.741666666666667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0</v>
      </c>
      <c r="CX55" s="92">
        <f>IFERROR(AVERAGEIFS('Base Kpi'!$EJ:$EJ,'Base Kpi'!$EC:$EC,Cliente!$E55,'Base Kpi'!$EI:$EI,Cliente!CX$5),0)</f>
        <v>0</v>
      </c>
      <c r="CY55" s="92">
        <f>IFERROR(AVERAGEIFS('Base Kpi'!$EJ:$EJ,'Base Kpi'!$EC:$EC,Cliente!$E55,'Base Kpi'!$EI:$EI,Cliente!CY$5),0)</f>
        <v>0</v>
      </c>
      <c r="CZ55" s="92">
        <f>IFERROR(AVERAGEIFS('Base Kpi'!$EJ:$EJ,'Base Kpi'!$EC:$EC,Cliente!$E55,'Base Kpi'!$EI:$EI,Cliente!CZ$5),0)</f>
        <v>0</v>
      </c>
      <c r="DA55" s="92">
        <f>IFERROR(AVERAGEIFS('Base Kpi'!$EJ:$EJ,'Base Kpi'!$EC:$EC,Cliente!$E55,'Base Kpi'!$EI:$EI,Cliente!DA$5),0)</f>
        <v>0</v>
      </c>
      <c r="DB55" s="92">
        <f>IFERROR(AVERAGEIFS('Base Kpi'!$EJ:$EJ,'Base Kpi'!$EC:$EC,Cliente!$E55,'Base Kpi'!$EI:$EI,Cliente!DB$5),0)</f>
        <v>0</v>
      </c>
      <c r="DC55" s="92">
        <f>IFERROR(AVERAGEIFS('Base Kpi'!$EJ:$EJ,'Base Kpi'!$EC:$EC,Cliente!$E55,'Base Kpi'!$EI:$EI,Cliente!DC$5),0)</f>
        <v>0</v>
      </c>
      <c r="DD55" s="94">
        <f t="shared" si="69"/>
        <v>0</v>
      </c>
      <c r="DE55" s="95">
        <f t="shared" si="70"/>
        <v>0</v>
      </c>
      <c r="DF55" s="120"/>
    </row>
    <row r="56" spans="2:110" x14ac:dyDescent="0.3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32.741666666666667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0</v>
      </c>
      <c r="CX56" s="92">
        <f>IFERROR(AVERAGEIFS('Base Kpi'!$EJ:$EJ,'Base Kpi'!$EC:$EC,Cliente!$E56,'Base Kpi'!$EI:$EI,Cliente!CX$5),0)</f>
        <v>0</v>
      </c>
      <c r="CY56" s="92">
        <f>IFERROR(AVERAGEIFS('Base Kpi'!$EJ:$EJ,'Base Kpi'!$EC:$EC,Cliente!$E56,'Base Kpi'!$EI:$EI,Cliente!CY$5),0)</f>
        <v>0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0</v>
      </c>
      <c r="DB56" s="92">
        <f>IFERROR(AVERAGEIFS('Base Kpi'!$EJ:$EJ,'Base Kpi'!$EC:$EC,Cliente!$E56,'Base Kpi'!$EI:$EI,Cliente!DB$5),0)</f>
        <v>0</v>
      </c>
      <c r="DC56" s="92">
        <f>IFERROR(AVERAGEIFS('Base Kpi'!$EJ:$EJ,'Base Kpi'!$EC:$EC,Cliente!$E56,'Base Kpi'!$EI:$EI,Cliente!DC$5),0)</f>
        <v>0</v>
      </c>
      <c r="DD56" s="94">
        <f t="shared" si="69"/>
        <v>0</v>
      </c>
      <c r="DE56" s="95">
        <f t="shared" si="70"/>
        <v>0</v>
      </c>
      <c r="DF56" s="120"/>
    </row>
    <row r="57" spans="2:110" x14ac:dyDescent="0.3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3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3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57.9</v>
      </c>
      <c r="CC59" s="97">
        <f t="shared" si="65"/>
        <v>0</v>
      </c>
      <c r="CD59" s="43">
        <f t="shared" si="66"/>
        <v>0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0</v>
      </c>
      <c r="CX59" s="92">
        <f>IFERROR(AVERAGEIFS('Base Kpi'!$EJ:$EJ,'Base Kpi'!$EC:$EC,Cliente!$E59,'Base Kpi'!$EI:$EI,Cliente!CX$5),0)</f>
        <v>0</v>
      </c>
      <c r="CY59" s="92">
        <f>IFERROR(AVERAGEIFS('Base Kpi'!$EJ:$EJ,'Base Kpi'!$EC:$EC,Cliente!$E59,'Base Kpi'!$EI:$EI,Cliente!CY$5),0)</f>
        <v>0</v>
      </c>
      <c r="CZ59" s="92">
        <f>IFERROR(AVERAGEIFS('Base Kpi'!$EJ:$EJ,'Base Kpi'!$EC:$EC,Cliente!$E59,'Base Kpi'!$EI:$EI,Cliente!CZ$5),0)</f>
        <v>0</v>
      </c>
      <c r="DA59" s="92">
        <f>IFERROR(AVERAGEIFS('Base Kpi'!$EJ:$EJ,'Base Kpi'!$EC:$EC,Cliente!$E59,'Base Kpi'!$EI:$EI,Cliente!DA$5),0)</f>
        <v>0</v>
      </c>
      <c r="DB59" s="92">
        <f>IFERROR(AVERAGEIFS('Base Kpi'!$EJ:$EJ,'Base Kpi'!$EC:$EC,Cliente!$E59,'Base Kpi'!$EI:$EI,Cliente!DB$5),0)</f>
        <v>0</v>
      </c>
      <c r="DC59" s="92">
        <f>IFERROR(AVERAGEIFS('Base Kpi'!$EJ:$EJ,'Base Kpi'!$EC:$EC,Cliente!$E59,'Base Kpi'!$EI:$EI,Cliente!DC$5),0)</f>
        <v>0</v>
      </c>
      <c r="DD59" s="94">
        <f t="shared" si="69"/>
        <v>0</v>
      </c>
      <c r="DE59" s="95">
        <f t="shared" si="70"/>
        <v>0</v>
      </c>
      <c r="DF59" s="120"/>
    </row>
    <row r="60" spans="2:110" x14ac:dyDescent="0.3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66.666666666666671</v>
      </c>
      <c r="CC60" s="97">
        <f t="shared" si="65"/>
        <v>0</v>
      </c>
      <c r="CD60" s="43">
        <f t="shared" si="66"/>
        <v>0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0</v>
      </c>
      <c r="CX60" s="92">
        <f>IFERROR(AVERAGEIFS('Base Kpi'!$EJ:$EJ,'Base Kpi'!$EC:$EC,Cliente!$E60,'Base Kpi'!$EI:$EI,Cliente!CX$5),0)</f>
        <v>0</v>
      </c>
      <c r="CY60" s="92">
        <f>IFERROR(AVERAGEIFS('Base Kpi'!$EJ:$EJ,'Base Kpi'!$EC:$EC,Cliente!$E60,'Base Kpi'!$EI:$EI,Cliente!CY$5),0)</f>
        <v>0</v>
      </c>
      <c r="CZ60" s="92">
        <f>IFERROR(AVERAGEIFS('Base Kpi'!$EJ:$EJ,'Base Kpi'!$EC:$EC,Cliente!$E60,'Base Kpi'!$EI:$EI,Cliente!CZ$5),0)</f>
        <v>0</v>
      </c>
      <c r="DA60" s="92">
        <f>IFERROR(AVERAGEIFS('Base Kpi'!$EJ:$EJ,'Base Kpi'!$EC:$EC,Cliente!$E60,'Base Kpi'!$EI:$EI,Cliente!DA$5),0)</f>
        <v>0</v>
      </c>
      <c r="DB60" s="92">
        <f>IFERROR(AVERAGEIFS('Base Kpi'!$EJ:$EJ,'Base Kpi'!$EC:$EC,Cliente!$E60,'Base Kpi'!$EI:$EI,Cliente!DB$5),0)</f>
        <v>0</v>
      </c>
      <c r="DC60" s="92">
        <f>IFERROR(AVERAGEIFS('Base Kpi'!$EJ:$EJ,'Base Kpi'!$EC:$EC,Cliente!$E60,'Base Kpi'!$EI:$EI,Cliente!DC$5),0)</f>
        <v>0</v>
      </c>
      <c r="DD60" s="94">
        <f t="shared" si="69"/>
        <v>0</v>
      </c>
      <c r="DE60" s="95">
        <f t="shared" si="70"/>
        <v>0</v>
      </c>
      <c r="DF60" s="120"/>
    </row>
    <row r="61" spans="2:110" x14ac:dyDescent="0.3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65.541666666666671</v>
      </c>
      <c r="CC61" s="97">
        <f t="shared" si="65"/>
        <v>0</v>
      </c>
      <c r="CD61" s="43">
        <f t="shared" si="66"/>
        <v>0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0</v>
      </c>
      <c r="CX61" s="92">
        <f>IFERROR(AVERAGEIFS('Base Kpi'!$EJ:$EJ,'Base Kpi'!$EC:$EC,Cliente!$E61,'Base Kpi'!$EI:$EI,Cliente!CX$5),0)</f>
        <v>0</v>
      </c>
      <c r="CY61" s="92">
        <f>IFERROR(AVERAGEIFS('Base Kpi'!$EJ:$EJ,'Base Kpi'!$EC:$EC,Cliente!$E61,'Base Kpi'!$EI:$EI,Cliente!CY$5),0)</f>
        <v>0</v>
      </c>
      <c r="CZ61" s="92">
        <f>IFERROR(AVERAGEIFS('Base Kpi'!$EJ:$EJ,'Base Kpi'!$EC:$EC,Cliente!$E61,'Base Kpi'!$EI:$EI,Cliente!CZ$5),0)</f>
        <v>0</v>
      </c>
      <c r="DA61" s="92">
        <f>IFERROR(AVERAGEIFS('Base Kpi'!$EJ:$EJ,'Base Kpi'!$EC:$EC,Cliente!$E61,'Base Kpi'!$EI:$EI,Cliente!DA$5),0)</f>
        <v>0</v>
      </c>
      <c r="DB61" s="92">
        <f>IFERROR(AVERAGEIFS('Base Kpi'!$EJ:$EJ,'Base Kpi'!$EC:$EC,Cliente!$E61,'Base Kpi'!$EI:$EI,Cliente!DB$5),0)</f>
        <v>0</v>
      </c>
      <c r="DC61" s="92">
        <f>IFERROR(AVERAGEIFS('Base Kpi'!$EJ:$EJ,'Base Kpi'!$EC:$EC,Cliente!$E61,'Base Kpi'!$EI:$EI,Cliente!DC$5),0)</f>
        <v>0</v>
      </c>
      <c r="DD61" s="94">
        <f t="shared" si="69"/>
        <v>0</v>
      </c>
      <c r="DE61" s="95">
        <f t="shared" si="70"/>
        <v>0</v>
      </c>
      <c r="DF61" s="120"/>
    </row>
    <row r="62" spans="2:110" x14ac:dyDescent="0.3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62.675000000000004</v>
      </c>
      <c r="CC62" s="97">
        <f t="shared" si="65"/>
        <v>0</v>
      </c>
      <c r="CD62" s="43">
        <f t="shared" si="66"/>
        <v>0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0</v>
      </c>
      <c r="CX62" s="92">
        <f>IFERROR(AVERAGEIFS('Base Kpi'!$EJ:$EJ,'Base Kpi'!$EC:$EC,Cliente!$E62,'Base Kpi'!$EI:$EI,Cliente!CX$5),0)</f>
        <v>0</v>
      </c>
      <c r="CY62" s="92">
        <f>IFERROR(AVERAGEIFS('Base Kpi'!$EJ:$EJ,'Base Kpi'!$EC:$EC,Cliente!$E62,'Base Kpi'!$EI:$EI,Cliente!CY$5),0)</f>
        <v>0</v>
      </c>
      <c r="CZ62" s="92">
        <f>IFERROR(AVERAGEIFS('Base Kpi'!$EJ:$EJ,'Base Kpi'!$EC:$EC,Cliente!$E62,'Base Kpi'!$EI:$EI,Cliente!CZ$5),0)</f>
        <v>0</v>
      </c>
      <c r="DA62" s="92">
        <f>IFERROR(AVERAGEIFS('Base Kpi'!$EJ:$EJ,'Base Kpi'!$EC:$EC,Cliente!$E62,'Base Kpi'!$EI:$EI,Cliente!DA$5),0)</f>
        <v>0</v>
      </c>
      <c r="DB62" s="92">
        <f>IFERROR(AVERAGEIFS('Base Kpi'!$EJ:$EJ,'Base Kpi'!$EC:$EC,Cliente!$E62,'Base Kpi'!$EI:$EI,Cliente!DB$5),0)</f>
        <v>0</v>
      </c>
      <c r="DC62" s="92">
        <f>IFERROR(AVERAGEIFS('Base Kpi'!$EJ:$EJ,'Base Kpi'!$EC:$EC,Cliente!$E62,'Base Kpi'!$EI:$EI,Cliente!DC$5),0)</f>
        <v>0</v>
      </c>
      <c r="DD62" s="94">
        <f t="shared" si="69"/>
        <v>0</v>
      </c>
      <c r="DE62" s="95">
        <f t="shared" si="70"/>
        <v>0</v>
      </c>
      <c r="DF62" s="120"/>
    </row>
    <row r="63" spans="2:110" x14ac:dyDescent="0.3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3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62.483333333333327</v>
      </c>
      <c r="CC64" s="97">
        <f t="shared" si="65"/>
        <v>0</v>
      </c>
      <c r="CD64" s="43">
        <f t="shared" si="66"/>
        <v>0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0</v>
      </c>
      <c r="CX64" s="92">
        <f>IFERROR(AVERAGEIFS('Base Kpi'!$EJ:$EJ,'Base Kpi'!$EC:$EC,Cliente!$E64,'Base Kpi'!$EI:$EI,Cliente!CX$5),0)</f>
        <v>0</v>
      </c>
      <c r="CY64" s="92">
        <f>IFERROR(AVERAGEIFS('Base Kpi'!$EJ:$EJ,'Base Kpi'!$EC:$EC,Cliente!$E64,'Base Kpi'!$EI:$EI,Cliente!CY$5),0)</f>
        <v>0</v>
      </c>
      <c r="CZ64" s="92">
        <f>IFERROR(AVERAGEIFS('Base Kpi'!$EJ:$EJ,'Base Kpi'!$EC:$EC,Cliente!$E64,'Base Kpi'!$EI:$EI,Cliente!CZ$5),0)</f>
        <v>0</v>
      </c>
      <c r="DA64" s="92">
        <f>IFERROR(AVERAGEIFS('Base Kpi'!$EJ:$EJ,'Base Kpi'!$EC:$EC,Cliente!$E64,'Base Kpi'!$EI:$EI,Cliente!DA$5),0)</f>
        <v>0</v>
      </c>
      <c r="DB64" s="92">
        <f>IFERROR(AVERAGEIFS('Base Kpi'!$EJ:$EJ,'Base Kpi'!$EC:$EC,Cliente!$E64,'Base Kpi'!$EI:$EI,Cliente!DB$5),0)</f>
        <v>0</v>
      </c>
      <c r="DC64" s="92">
        <f>IFERROR(AVERAGEIFS('Base Kpi'!$EJ:$EJ,'Base Kpi'!$EC:$EC,Cliente!$E64,'Base Kpi'!$EI:$EI,Cliente!DC$5),0)</f>
        <v>0</v>
      </c>
      <c r="DD64" s="94">
        <f t="shared" si="69"/>
        <v>0</v>
      </c>
      <c r="DE64" s="95">
        <f t="shared" si="70"/>
        <v>0</v>
      </c>
      <c r="DF64" s="120"/>
    </row>
    <row r="65" spans="2:110" x14ac:dyDescent="0.3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3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66.266666666666666</v>
      </c>
      <c r="CC66" s="97">
        <f t="shared" si="65"/>
        <v>0</v>
      </c>
      <c r="CD66" s="43">
        <f t="shared" si="66"/>
        <v>0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0</v>
      </c>
      <c r="CX66" s="92">
        <f>IFERROR(AVERAGEIFS('Base Kpi'!$EJ:$EJ,'Base Kpi'!$EC:$EC,Cliente!$E66,'Base Kpi'!$EI:$EI,Cliente!CX$5),0)</f>
        <v>0</v>
      </c>
      <c r="CY66" s="92">
        <f>IFERROR(AVERAGEIFS('Base Kpi'!$EJ:$EJ,'Base Kpi'!$EC:$EC,Cliente!$E66,'Base Kpi'!$EI:$EI,Cliente!CY$5),0)</f>
        <v>0</v>
      </c>
      <c r="CZ66" s="92">
        <f>IFERROR(AVERAGEIFS('Base Kpi'!$EJ:$EJ,'Base Kpi'!$EC:$EC,Cliente!$E66,'Base Kpi'!$EI:$EI,Cliente!CZ$5),0)</f>
        <v>0</v>
      </c>
      <c r="DA66" s="92">
        <f>IFERROR(AVERAGEIFS('Base Kpi'!$EJ:$EJ,'Base Kpi'!$EC:$EC,Cliente!$E66,'Base Kpi'!$EI:$EI,Cliente!DA$5),0)</f>
        <v>0</v>
      </c>
      <c r="DB66" s="92">
        <f>IFERROR(AVERAGEIFS('Base Kpi'!$EJ:$EJ,'Base Kpi'!$EC:$EC,Cliente!$E66,'Base Kpi'!$EI:$EI,Cliente!DB$5),0)</f>
        <v>0</v>
      </c>
      <c r="DC66" s="92">
        <f>IFERROR(AVERAGEIFS('Base Kpi'!$EJ:$EJ,'Base Kpi'!$EC:$EC,Cliente!$E66,'Base Kpi'!$EI:$EI,Cliente!DC$5),0)</f>
        <v>0</v>
      </c>
      <c r="DD66" s="94">
        <f t="shared" si="69"/>
        <v>0</v>
      </c>
      <c r="DE66" s="95">
        <f t="shared" si="70"/>
        <v>0</v>
      </c>
      <c r="DF66" s="120"/>
    </row>
    <row r="67" spans="2:110" x14ac:dyDescent="0.3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3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58.800000000000004</v>
      </c>
      <c r="CC68" s="97">
        <f t="shared" si="105"/>
        <v>0</v>
      </c>
      <c r="CD68" s="43">
        <f t="shared" si="106"/>
        <v>0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0</v>
      </c>
      <c r="CX68" s="92">
        <f>IFERROR(AVERAGEIFS('Base Kpi'!$EJ:$EJ,'Base Kpi'!$EC:$EC,Cliente!$E68,'Base Kpi'!$EI:$EI,Cliente!CX$5),0)</f>
        <v>0</v>
      </c>
      <c r="CY68" s="92">
        <f>IFERROR(AVERAGEIFS('Base Kpi'!$EJ:$EJ,'Base Kpi'!$EC:$EC,Cliente!$E68,'Base Kpi'!$EI:$EI,Cliente!CY$5),0)</f>
        <v>0</v>
      </c>
      <c r="CZ68" s="92">
        <f>IFERROR(AVERAGEIFS('Base Kpi'!$EJ:$EJ,'Base Kpi'!$EC:$EC,Cliente!$E68,'Base Kpi'!$EI:$EI,Cliente!CZ$5),0)</f>
        <v>0</v>
      </c>
      <c r="DA68" s="92">
        <f>IFERROR(AVERAGEIFS('Base Kpi'!$EJ:$EJ,'Base Kpi'!$EC:$EC,Cliente!$E68,'Base Kpi'!$EI:$EI,Cliente!DA$5),0)</f>
        <v>0</v>
      </c>
      <c r="DB68" s="92">
        <f>IFERROR(AVERAGEIFS('Base Kpi'!$EJ:$EJ,'Base Kpi'!$EC:$EC,Cliente!$E68,'Base Kpi'!$EI:$EI,Cliente!DB$5),0)</f>
        <v>0</v>
      </c>
      <c r="DC68" s="92">
        <f>IFERROR(AVERAGEIFS('Base Kpi'!$EJ:$EJ,'Base Kpi'!$EC:$EC,Cliente!$E68,'Base Kpi'!$EI:$EI,Cliente!DC$5),0)</f>
        <v>0</v>
      </c>
      <c r="DD68" s="94">
        <f t="shared" si="109"/>
        <v>0</v>
      </c>
      <c r="DE68" s="95">
        <f t="shared" si="110"/>
        <v>0</v>
      </c>
      <c r="DF68" s="120"/>
    </row>
    <row r="69" spans="2:110" x14ac:dyDescent="0.3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65.076666666666668</v>
      </c>
      <c r="CC69" s="97">
        <f t="shared" si="105"/>
        <v>0</v>
      </c>
      <c r="CD69" s="43">
        <f t="shared" si="106"/>
        <v>0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0</v>
      </c>
      <c r="CX69" s="92">
        <f>IFERROR(AVERAGEIFS('Base Kpi'!$EJ:$EJ,'Base Kpi'!$EC:$EC,Cliente!$E69,'Base Kpi'!$EI:$EI,Cliente!CX$5),0)</f>
        <v>0</v>
      </c>
      <c r="CY69" s="92">
        <f>IFERROR(AVERAGEIFS('Base Kpi'!$EJ:$EJ,'Base Kpi'!$EC:$EC,Cliente!$E69,'Base Kpi'!$EI:$EI,Cliente!CY$5),0)</f>
        <v>0</v>
      </c>
      <c r="CZ69" s="92">
        <f>IFERROR(AVERAGEIFS('Base Kpi'!$EJ:$EJ,'Base Kpi'!$EC:$EC,Cliente!$E69,'Base Kpi'!$EI:$EI,Cliente!CZ$5),0)</f>
        <v>0</v>
      </c>
      <c r="DA69" s="92">
        <f>IFERROR(AVERAGEIFS('Base Kpi'!$EJ:$EJ,'Base Kpi'!$EC:$EC,Cliente!$E69,'Base Kpi'!$EI:$EI,Cliente!DA$5),0)</f>
        <v>0</v>
      </c>
      <c r="DB69" s="92">
        <f>IFERROR(AVERAGEIFS('Base Kpi'!$EJ:$EJ,'Base Kpi'!$EC:$EC,Cliente!$E69,'Base Kpi'!$EI:$EI,Cliente!DB$5),0)</f>
        <v>0</v>
      </c>
      <c r="DC69" s="92">
        <f>IFERROR(AVERAGEIFS('Base Kpi'!$EJ:$EJ,'Base Kpi'!$EC:$EC,Cliente!$E69,'Base Kpi'!$EI:$EI,Cliente!DC$5),0)</f>
        <v>0</v>
      </c>
      <c r="DD69" s="94">
        <f t="shared" si="109"/>
        <v>0</v>
      </c>
      <c r="DE69" s="95">
        <f t="shared" si="110"/>
        <v>0</v>
      </c>
      <c r="DF69" s="120"/>
    </row>
    <row r="70" spans="2:110" x14ac:dyDescent="0.3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64.416666666666671</v>
      </c>
      <c r="CC70" s="97">
        <f t="shared" si="105"/>
        <v>0</v>
      </c>
      <c r="CD70" s="43">
        <f t="shared" si="106"/>
        <v>0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0</v>
      </c>
      <c r="CX70" s="92">
        <f>IFERROR(AVERAGEIFS('Base Kpi'!$EJ:$EJ,'Base Kpi'!$EC:$EC,Cliente!$E70,'Base Kpi'!$EI:$EI,Cliente!CX$5),0)</f>
        <v>0</v>
      </c>
      <c r="CY70" s="92">
        <f>IFERROR(AVERAGEIFS('Base Kpi'!$EJ:$EJ,'Base Kpi'!$EC:$EC,Cliente!$E70,'Base Kpi'!$EI:$EI,Cliente!CY$5),0)</f>
        <v>0</v>
      </c>
      <c r="CZ70" s="92">
        <f>IFERROR(AVERAGEIFS('Base Kpi'!$EJ:$EJ,'Base Kpi'!$EC:$EC,Cliente!$E70,'Base Kpi'!$EI:$EI,Cliente!CZ$5),0)</f>
        <v>0</v>
      </c>
      <c r="DA70" s="92">
        <f>IFERROR(AVERAGEIFS('Base Kpi'!$EJ:$EJ,'Base Kpi'!$EC:$EC,Cliente!$E70,'Base Kpi'!$EI:$EI,Cliente!DA$5),0)</f>
        <v>0</v>
      </c>
      <c r="DB70" s="92">
        <f>IFERROR(AVERAGEIFS('Base Kpi'!$EJ:$EJ,'Base Kpi'!$EC:$EC,Cliente!$E70,'Base Kpi'!$EI:$EI,Cliente!DB$5),0)</f>
        <v>0</v>
      </c>
      <c r="DC70" s="92">
        <f>IFERROR(AVERAGEIFS('Base Kpi'!$EJ:$EJ,'Base Kpi'!$EC:$EC,Cliente!$E70,'Base Kpi'!$EI:$EI,Cliente!DC$5),0)</f>
        <v>0</v>
      </c>
      <c r="DD70" s="94">
        <f t="shared" si="109"/>
        <v>0</v>
      </c>
      <c r="DE70" s="95">
        <f t="shared" si="110"/>
        <v>0</v>
      </c>
      <c r="DF70" s="120"/>
    </row>
    <row r="71" spans="2:110" x14ac:dyDescent="0.3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65.55</v>
      </c>
      <c r="CC71" s="97">
        <f t="shared" si="105"/>
        <v>0</v>
      </c>
      <c r="CD71" s="43">
        <f t="shared" si="106"/>
        <v>0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0</v>
      </c>
      <c r="CX71" s="92">
        <f>IFERROR(AVERAGEIFS('Base Kpi'!$EJ:$EJ,'Base Kpi'!$EC:$EC,Cliente!$E71,'Base Kpi'!$EI:$EI,Cliente!CX$5),0)</f>
        <v>0</v>
      </c>
      <c r="CY71" s="92">
        <f>IFERROR(AVERAGEIFS('Base Kpi'!$EJ:$EJ,'Base Kpi'!$EC:$EC,Cliente!$E71,'Base Kpi'!$EI:$EI,Cliente!CY$5),0)</f>
        <v>0</v>
      </c>
      <c r="CZ71" s="92">
        <f>IFERROR(AVERAGEIFS('Base Kpi'!$EJ:$EJ,'Base Kpi'!$EC:$EC,Cliente!$E71,'Base Kpi'!$EI:$EI,Cliente!CZ$5),0)</f>
        <v>0</v>
      </c>
      <c r="DA71" s="92">
        <f>IFERROR(AVERAGEIFS('Base Kpi'!$EJ:$EJ,'Base Kpi'!$EC:$EC,Cliente!$E71,'Base Kpi'!$EI:$EI,Cliente!DA$5),0)</f>
        <v>0</v>
      </c>
      <c r="DB71" s="92">
        <f>IFERROR(AVERAGEIFS('Base Kpi'!$EJ:$EJ,'Base Kpi'!$EC:$EC,Cliente!$E71,'Base Kpi'!$EI:$EI,Cliente!DB$5),0)</f>
        <v>0</v>
      </c>
      <c r="DC71" s="92">
        <f>IFERROR(AVERAGEIFS('Base Kpi'!$EJ:$EJ,'Base Kpi'!$EC:$EC,Cliente!$E71,'Base Kpi'!$EI:$EI,Cliente!DC$5),0)</f>
        <v>0</v>
      </c>
      <c r="DD71" s="94">
        <f t="shared" si="109"/>
        <v>0</v>
      </c>
      <c r="DE71" s="95">
        <f t="shared" si="110"/>
        <v>0</v>
      </c>
      <c r="DF71" s="120"/>
    </row>
    <row r="72" spans="2:110" x14ac:dyDescent="0.3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60.550000000000004</v>
      </c>
      <c r="CC72" s="97">
        <f t="shared" si="105"/>
        <v>0</v>
      </c>
      <c r="CD72" s="43">
        <f t="shared" si="106"/>
        <v>0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0</v>
      </c>
      <c r="CX72" s="92">
        <f>IFERROR(AVERAGEIFS('Base Kpi'!$EJ:$EJ,'Base Kpi'!$EC:$EC,Cliente!$E72,'Base Kpi'!$EI:$EI,Cliente!CX$5),0)</f>
        <v>0</v>
      </c>
      <c r="CY72" s="92">
        <f>IFERROR(AVERAGEIFS('Base Kpi'!$EJ:$EJ,'Base Kpi'!$EC:$EC,Cliente!$E72,'Base Kpi'!$EI:$EI,Cliente!CY$5),0)</f>
        <v>0</v>
      </c>
      <c r="CZ72" s="92">
        <f>IFERROR(AVERAGEIFS('Base Kpi'!$EJ:$EJ,'Base Kpi'!$EC:$EC,Cliente!$E72,'Base Kpi'!$EI:$EI,Cliente!CZ$5),0)</f>
        <v>0</v>
      </c>
      <c r="DA72" s="92">
        <f>IFERROR(AVERAGEIFS('Base Kpi'!$EJ:$EJ,'Base Kpi'!$EC:$EC,Cliente!$E72,'Base Kpi'!$EI:$EI,Cliente!DA$5),0)</f>
        <v>0</v>
      </c>
      <c r="DB72" s="92">
        <f>IFERROR(AVERAGEIFS('Base Kpi'!$EJ:$EJ,'Base Kpi'!$EC:$EC,Cliente!$E72,'Base Kpi'!$EI:$EI,Cliente!DB$5),0)</f>
        <v>0</v>
      </c>
      <c r="DC72" s="92">
        <f>IFERROR(AVERAGEIFS('Base Kpi'!$EJ:$EJ,'Base Kpi'!$EC:$EC,Cliente!$E72,'Base Kpi'!$EI:$EI,Cliente!DC$5),0)</f>
        <v>0</v>
      </c>
      <c r="DD72" s="94">
        <f t="shared" si="109"/>
        <v>0</v>
      </c>
      <c r="DE72" s="95">
        <f t="shared" si="110"/>
        <v>0</v>
      </c>
      <c r="DF72" s="120"/>
    </row>
    <row r="73" spans="2:110" x14ac:dyDescent="0.3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66.666666666666671</v>
      </c>
      <c r="CC73" s="97">
        <f t="shared" si="105"/>
        <v>0</v>
      </c>
      <c r="CD73" s="43">
        <f t="shared" si="106"/>
        <v>0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0</v>
      </c>
      <c r="CX73" s="92">
        <f>IFERROR(AVERAGEIFS('Base Kpi'!$EJ:$EJ,'Base Kpi'!$EC:$EC,Cliente!$E73,'Base Kpi'!$EI:$EI,Cliente!CX$5),0)</f>
        <v>0</v>
      </c>
      <c r="CY73" s="92">
        <f>IFERROR(AVERAGEIFS('Base Kpi'!$EJ:$EJ,'Base Kpi'!$EC:$EC,Cliente!$E73,'Base Kpi'!$EI:$EI,Cliente!CY$5),0)</f>
        <v>0</v>
      </c>
      <c r="CZ73" s="92">
        <f>IFERROR(AVERAGEIFS('Base Kpi'!$EJ:$EJ,'Base Kpi'!$EC:$EC,Cliente!$E73,'Base Kpi'!$EI:$EI,Cliente!CZ$5),0)</f>
        <v>0</v>
      </c>
      <c r="DA73" s="92">
        <f>IFERROR(AVERAGEIFS('Base Kpi'!$EJ:$EJ,'Base Kpi'!$EC:$EC,Cliente!$E73,'Base Kpi'!$EI:$EI,Cliente!DA$5),0)</f>
        <v>0</v>
      </c>
      <c r="DB73" s="92">
        <f>IFERROR(AVERAGEIFS('Base Kpi'!$EJ:$EJ,'Base Kpi'!$EC:$EC,Cliente!$E73,'Base Kpi'!$EI:$EI,Cliente!DB$5),0)</f>
        <v>0</v>
      </c>
      <c r="DC73" s="92">
        <f>IFERROR(AVERAGEIFS('Base Kpi'!$EJ:$EJ,'Base Kpi'!$EC:$EC,Cliente!$E73,'Base Kpi'!$EI:$EI,Cliente!DC$5),0)</f>
        <v>0</v>
      </c>
      <c r="DD73" s="94">
        <f t="shared" si="109"/>
        <v>0</v>
      </c>
      <c r="DE73" s="95">
        <f t="shared" si="110"/>
        <v>0</v>
      </c>
      <c r="DF73" s="120"/>
    </row>
    <row r="74" spans="2:110" x14ac:dyDescent="0.3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59.919999999999995</v>
      </c>
      <c r="CC74" s="97">
        <f t="shared" si="105"/>
        <v>0</v>
      </c>
      <c r="CD74" s="43">
        <f t="shared" si="106"/>
        <v>0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0</v>
      </c>
      <c r="CX74" s="92">
        <f>IFERROR(AVERAGEIFS('Base Kpi'!$EJ:$EJ,'Base Kpi'!$EC:$EC,Cliente!$E74,'Base Kpi'!$EI:$EI,Cliente!CX$5),0)</f>
        <v>0</v>
      </c>
      <c r="CY74" s="92">
        <f>IFERROR(AVERAGEIFS('Base Kpi'!$EJ:$EJ,'Base Kpi'!$EC:$EC,Cliente!$E74,'Base Kpi'!$EI:$EI,Cliente!CY$5),0)</f>
        <v>0</v>
      </c>
      <c r="CZ74" s="92">
        <f>IFERROR(AVERAGEIFS('Base Kpi'!$EJ:$EJ,'Base Kpi'!$EC:$EC,Cliente!$E74,'Base Kpi'!$EI:$EI,Cliente!CZ$5),0)</f>
        <v>0</v>
      </c>
      <c r="DA74" s="92">
        <f>IFERROR(AVERAGEIFS('Base Kpi'!$EJ:$EJ,'Base Kpi'!$EC:$EC,Cliente!$E74,'Base Kpi'!$EI:$EI,Cliente!DA$5),0)</f>
        <v>0</v>
      </c>
      <c r="DB74" s="92">
        <f>IFERROR(AVERAGEIFS('Base Kpi'!$EJ:$EJ,'Base Kpi'!$EC:$EC,Cliente!$E74,'Base Kpi'!$EI:$EI,Cliente!DB$5),0)</f>
        <v>0</v>
      </c>
      <c r="DC74" s="92">
        <f>IFERROR(AVERAGEIFS('Base Kpi'!$EJ:$EJ,'Base Kpi'!$EC:$EC,Cliente!$E74,'Base Kpi'!$EI:$EI,Cliente!DC$5),0)</f>
        <v>0</v>
      </c>
      <c r="DD74" s="94">
        <f t="shared" si="109"/>
        <v>0</v>
      </c>
      <c r="DE74" s="95">
        <f t="shared" si="110"/>
        <v>0</v>
      </c>
      <c r="DF74" s="120"/>
    </row>
    <row r="75" spans="2:110" x14ac:dyDescent="0.3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62.083333333333336</v>
      </c>
      <c r="CC75" s="97">
        <f t="shared" si="105"/>
        <v>0</v>
      </c>
      <c r="CD75" s="43">
        <f t="shared" si="106"/>
        <v>0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0</v>
      </c>
      <c r="CX75" s="92">
        <f>IFERROR(AVERAGEIFS('Base Kpi'!$EJ:$EJ,'Base Kpi'!$EC:$EC,Cliente!$E75,'Base Kpi'!$EI:$EI,Cliente!CX$5),0)</f>
        <v>0</v>
      </c>
      <c r="CY75" s="92">
        <f>IFERROR(AVERAGEIFS('Base Kpi'!$EJ:$EJ,'Base Kpi'!$EC:$EC,Cliente!$E75,'Base Kpi'!$EI:$EI,Cliente!CY$5),0)</f>
        <v>0</v>
      </c>
      <c r="CZ75" s="92">
        <f>IFERROR(AVERAGEIFS('Base Kpi'!$EJ:$EJ,'Base Kpi'!$EC:$EC,Cliente!$E75,'Base Kpi'!$EI:$EI,Cliente!CZ$5),0)</f>
        <v>0</v>
      </c>
      <c r="DA75" s="92">
        <f>IFERROR(AVERAGEIFS('Base Kpi'!$EJ:$EJ,'Base Kpi'!$EC:$EC,Cliente!$E75,'Base Kpi'!$EI:$EI,Cliente!DA$5),0)</f>
        <v>0</v>
      </c>
      <c r="DB75" s="92">
        <f>IFERROR(AVERAGEIFS('Base Kpi'!$EJ:$EJ,'Base Kpi'!$EC:$EC,Cliente!$E75,'Base Kpi'!$EI:$EI,Cliente!DB$5),0)</f>
        <v>0</v>
      </c>
      <c r="DC75" s="92">
        <f>IFERROR(AVERAGEIFS('Base Kpi'!$EJ:$EJ,'Base Kpi'!$EC:$EC,Cliente!$E75,'Base Kpi'!$EI:$EI,Cliente!DC$5),0)</f>
        <v>0</v>
      </c>
      <c r="DD75" s="94">
        <f t="shared" si="109"/>
        <v>0</v>
      </c>
      <c r="DE75" s="95">
        <f t="shared" si="110"/>
        <v>0</v>
      </c>
      <c r="DF75" s="120"/>
    </row>
    <row r="76" spans="2:110" x14ac:dyDescent="0.3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65.066666666666663</v>
      </c>
      <c r="CC76" s="97">
        <f t="shared" ref="CC76" si="137">IF(IF(CL76&gt;0,1,0)+IF(CU76&gt;0,1,0)+IF(DD76&gt;0,1,0)=3,1,0)</f>
        <v>0</v>
      </c>
      <c r="CD76" s="43">
        <f t="shared" ref="CD76" si="138">IF(CC76=0,0,IF(CB76&gt;=7,1,0))</f>
        <v>0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0</v>
      </c>
      <c r="CX76" s="92">
        <f>IFERROR(AVERAGEIFS('Base Kpi'!$EJ:$EJ,'Base Kpi'!$EC:$EC,Cliente!$E76,'Base Kpi'!$EI:$EI,Cliente!CX$5),0)</f>
        <v>0</v>
      </c>
      <c r="CY76" s="92">
        <f>IFERROR(AVERAGEIFS('Base Kpi'!$EJ:$EJ,'Base Kpi'!$EC:$EC,Cliente!$E76,'Base Kpi'!$EI:$EI,Cliente!CY$5),0)</f>
        <v>0</v>
      </c>
      <c r="CZ76" s="92">
        <f>IFERROR(AVERAGEIFS('Base Kpi'!$EJ:$EJ,'Base Kpi'!$EC:$EC,Cliente!$E76,'Base Kpi'!$EI:$EI,Cliente!CZ$5),0)</f>
        <v>0</v>
      </c>
      <c r="DA76" s="92">
        <f>IFERROR(AVERAGEIFS('Base Kpi'!$EJ:$EJ,'Base Kpi'!$EC:$EC,Cliente!$E76,'Base Kpi'!$EI:$EI,Cliente!DA$5),0)</f>
        <v>0</v>
      </c>
      <c r="DB76" s="92">
        <f>IFERROR(AVERAGEIFS('Base Kpi'!$EJ:$EJ,'Base Kpi'!$EC:$EC,Cliente!$E76,'Base Kpi'!$EI:$EI,Cliente!DB$5),0)</f>
        <v>0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0</v>
      </c>
      <c r="DE76" s="95">
        <f t="shared" ref="DE76" si="142">IF(DD76&gt;=7,1,0)</f>
        <v>0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DP1" zoomScale="85" zoomScaleNormal="85" workbookViewId="0">
      <selection activeCell="DQ1" sqref="DQ1"/>
    </sheetView>
  </sheetViews>
  <sheetFormatPr defaultRowHeight="14.5" outlineLevelCol="1" x14ac:dyDescent="0.35"/>
  <cols>
    <col min="1" max="1" width="10.26953125" style="138" hidden="1" customWidth="1" outlineLevel="1"/>
    <col min="2" max="2" width="7.7265625" hidden="1" customWidth="1" outlineLevel="1"/>
    <col min="3" max="3" width="20.26953125" hidden="1" customWidth="1" outlineLevel="1"/>
    <col min="4" max="4" width="30.54296875" hidden="1" customWidth="1" outlineLevel="1"/>
    <col min="5" max="5" width="14.453125" hidden="1" customWidth="1" outlineLevel="1"/>
    <col min="6" max="6" width="14.26953125" hidden="1" customWidth="1" outlineLevel="1"/>
    <col min="7" max="7" width="26.54296875" hidden="1" customWidth="1" outlineLevel="1"/>
    <col min="8" max="8" width="10.54296875" style="139" hidden="1" customWidth="1" outlineLevel="1"/>
    <col min="9" max="9" width="16.453125" style="139" hidden="1" customWidth="1" outlineLevel="1"/>
    <col min="10" max="10" width="12.26953125" style="139" hidden="1" customWidth="1" outlineLevel="1"/>
    <col min="11" max="11" width="3.81640625" hidden="1" customWidth="1" outlineLevel="1"/>
    <col min="12" max="12" width="10.26953125" style="138" hidden="1" customWidth="1" outlineLevel="1" collapsed="1"/>
    <col min="13" max="13" width="7.7265625" hidden="1" customWidth="1" outlineLevel="1"/>
    <col min="14" max="14" width="24" hidden="1" customWidth="1" outlineLevel="1"/>
    <col min="15" max="15" width="17.7265625" hidden="1" customWidth="1" outlineLevel="1"/>
    <col min="16" max="16" width="24" hidden="1" customWidth="1" outlineLevel="1"/>
    <col min="17" max="17" width="17.7265625" hidden="1" customWidth="1" outlineLevel="1"/>
    <col min="18" max="18" width="14.26953125" hidden="1" customWidth="1" outlineLevel="1"/>
    <col min="19" max="19" width="28.26953125" hidden="1" customWidth="1" outlineLevel="1"/>
    <col min="20" max="21" width="15.7265625" hidden="1" customWidth="1" outlineLevel="1"/>
    <col min="22" max="22" width="10.1796875" hidden="1" customWidth="1" outlineLevel="1"/>
    <col min="23" max="23" width="3.81640625" hidden="1" customWidth="1" outlineLevel="1"/>
    <col min="24" max="24" width="12.1796875" style="138" hidden="1" customWidth="1" outlineLevel="1" collapsed="1"/>
    <col min="25" max="25" width="7.7265625" hidden="1" customWidth="1" outlineLevel="1"/>
    <col min="26" max="26" width="21.7265625" hidden="1" customWidth="1" outlineLevel="1"/>
    <col min="27" max="27" width="27.7265625" hidden="1" customWidth="1" outlineLevel="1"/>
    <col min="28" max="28" width="14.453125" hidden="1" customWidth="1" outlineLevel="1"/>
    <col min="29" max="29" width="14.26953125" hidden="1" customWidth="1" outlineLevel="1"/>
    <col min="30" max="30" width="15.54296875" hidden="1" customWidth="1" outlineLevel="1"/>
    <col min="31" max="31" width="10.54296875" hidden="1" customWidth="1" outlineLevel="1"/>
    <col min="32" max="32" width="13" hidden="1" customWidth="1" outlineLevel="1"/>
    <col min="33" max="33" width="12.26953125" hidden="1" customWidth="1" outlineLevel="1"/>
    <col min="34" max="34" width="10.1796875" hidden="1" customWidth="1" outlineLevel="1"/>
    <col min="35" max="35" width="3.81640625" hidden="1" customWidth="1" outlineLevel="1"/>
    <col min="36" max="36" width="3.7265625" style="138" hidden="1" customWidth="1" outlineLevel="1" collapsed="1"/>
    <col min="37" max="37" width="7.7265625" hidden="1" customWidth="1" outlineLevel="1"/>
    <col min="38" max="38" width="21.7265625" hidden="1" customWidth="1" outlineLevel="1"/>
    <col min="39" max="39" width="27.7265625" hidden="1" customWidth="1" outlineLevel="1"/>
    <col min="40" max="40" width="14.453125" hidden="1" customWidth="1" outlineLevel="1"/>
    <col min="41" max="41" width="10.7265625" hidden="1" customWidth="1" outlineLevel="1"/>
    <col min="42" max="42" width="12" hidden="1" customWidth="1" outlineLevel="1"/>
    <col min="43" max="43" width="20.54296875" hidden="1" customWidth="1" outlineLevel="1"/>
    <col min="44" max="44" width="13" hidden="1" customWidth="1" outlineLevel="1"/>
    <col min="45" max="45" width="12.26953125" hidden="1" customWidth="1" outlineLevel="1"/>
    <col min="46" max="46" width="10.1796875" hidden="1" customWidth="1" outlineLevel="1"/>
    <col min="47" max="47" width="3.26953125" hidden="1" customWidth="1" outlineLevel="1"/>
    <col min="48" max="48" width="4" style="86" hidden="1" customWidth="1" outlineLevel="1"/>
    <col min="49" max="49" width="7.7265625" hidden="1" customWidth="1" outlineLevel="1"/>
    <col min="50" max="50" width="21.7265625" hidden="1" customWidth="1" outlineLevel="1"/>
    <col min="51" max="51" width="27.7265625" hidden="1" customWidth="1" outlineLevel="1"/>
    <col min="52" max="52" width="14.453125" hidden="1" customWidth="1" outlineLevel="1"/>
    <col min="53" max="53" width="10.7265625" hidden="1" customWidth="1" outlineLevel="1"/>
    <col min="54" max="54" width="12" hidden="1" customWidth="1" outlineLevel="1"/>
    <col min="55" max="55" width="20.54296875" hidden="1" customWidth="1" outlineLevel="1"/>
    <col min="56" max="56" width="13" hidden="1" customWidth="1" outlineLevel="1"/>
    <col min="57" max="57" width="12.26953125" hidden="1" customWidth="1" outlineLevel="1"/>
    <col min="58" max="58" width="10.1796875" hidden="1" customWidth="1" outlineLevel="1"/>
    <col min="59" max="59" width="5.7265625" hidden="1" customWidth="1" outlineLevel="1"/>
    <col min="60" max="60" width="27.1796875" style="86" hidden="1" customWidth="1" outlineLevel="1" collapsed="1"/>
    <col min="61" max="61" width="7.7265625" hidden="1" customWidth="1" outlineLevel="1"/>
    <col min="62" max="62" width="21.7265625" hidden="1" customWidth="1" outlineLevel="1"/>
    <col min="63" max="63" width="27.7265625" hidden="1" customWidth="1" outlineLevel="1"/>
    <col min="64" max="64" width="14.453125" hidden="1" customWidth="1" outlineLevel="1"/>
    <col min="65" max="65" width="10.726562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6953125" hidden="1" customWidth="1" outlineLevel="1"/>
    <col min="70" max="70" width="10.1796875" hidden="1" customWidth="1" outlineLevel="1"/>
    <col min="71" max="71" width="3.26953125" hidden="1" customWidth="1" outlineLevel="1"/>
    <col min="72" max="72" width="4" style="86" hidden="1" customWidth="1" outlineLevel="1" collapsed="1"/>
    <col min="73" max="73" width="7.7265625" hidden="1" customWidth="1" outlineLevel="1"/>
    <col min="74" max="74" width="21.7265625" hidden="1" customWidth="1" outlineLevel="1"/>
    <col min="75" max="75" width="27.7265625" hidden="1" customWidth="1" outlineLevel="1"/>
    <col min="76" max="76" width="14.453125" hidden="1" customWidth="1" outlineLevel="1"/>
    <col min="77" max="77" width="10.7265625" hidden="1" customWidth="1" outlineLevel="1"/>
    <col min="78" max="78" width="12" hidden="1" customWidth="1" outlineLevel="1"/>
    <col min="79" max="79" width="20.54296875" hidden="1" customWidth="1" outlineLevel="1"/>
    <col min="80" max="80" width="13" hidden="1" customWidth="1" outlineLevel="1"/>
    <col min="81" max="81" width="12.26953125" hidden="1" customWidth="1" outlineLevel="1"/>
    <col min="82" max="82" width="10.1796875" hidden="1" customWidth="1" outlineLevel="1"/>
    <col min="83" max="83" width="3.26953125" hidden="1" customWidth="1" outlineLevel="1"/>
    <col min="84" max="84" width="4" style="86" hidden="1" customWidth="1" outlineLevel="1"/>
    <col min="85" max="85" width="7.7265625" hidden="1" customWidth="1" outlineLevel="1"/>
    <col min="86" max="86" width="21.7265625" hidden="1" customWidth="1" outlineLevel="1"/>
    <col min="87" max="87" width="27.7265625" hidden="1" customWidth="1" outlineLevel="1"/>
    <col min="88" max="88" width="14.453125" hidden="1" customWidth="1" outlineLevel="1"/>
    <col min="89" max="89" width="10.7265625" hidden="1" customWidth="1" outlineLevel="1"/>
    <col min="90" max="90" width="12" hidden="1" customWidth="1" outlineLevel="1"/>
    <col min="91" max="91" width="20.54296875" hidden="1" customWidth="1" outlineLevel="1"/>
    <col min="92" max="92" width="13" hidden="1" customWidth="1" outlineLevel="1"/>
    <col min="93" max="93" width="12.26953125" hidden="1" customWidth="1" outlineLevel="1"/>
    <col min="94" max="94" width="10.1796875" hidden="1" customWidth="1" outlineLevel="1"/>
    <col min="95" max="95" width="3.26953125" hidden="1" customWidth="1" outlineLevel="1"/>
    <col min="96" max="96" width="4" style="86" hidden="1" customWidth="1" outlineLevel="1" collapsed="1"/>
    <col min="97" max="97" width="7.7265625" hidden="1" customWidth="1" outlineLevel="1"/>
    <col min="98" max="98" width="21.7265625" hidden="1" customWidth="1" outlineLevel="1"/>
    <col min="99" max="99" width="27.7265625" hidden="1" customWidth="1" outlineLevel="1"/>
    <col min="100" max="100" width="14.453125" hidden="1" customWidth="1" outlineLevel="1"/>
    <col min="101" max="101" width="10.7265625" hidden="1" customWidth="1" outlineLevel="1"/>
    <col min="102" max="102" width="12" hidden="1" customWidth="1" outlineLevel="1"/>
    <col min="103" max="103" width="20.54296875" hidden="1" customWidth="1" outlineLevel="1"/>
    <col min="104" max="104" width="13" hidden="1" customWidth="1" outlineLevel="1"/>
    <col min="105" max="105" width="12.26953125" hidden="1" customWidth="1" outlineLevel="1"/>
    <col min="106" max="106" width="10.1796875" hidden="1" customWidth="1" outlineLevel="1"/>
    <col min="107" max="107" width="2.81640625" hidden="1" customWidth="1" outlineLevel="1"/>
    <col min="108" max="108" width="4" style="86" hidden="1" customWidth="1" outlineLevel="1" collapsed="1"/>
    <col min="109" max="109" width="7.7265625" hidden="1" customWidth="1" outlineLevel="1"/>
    <col min="110" max="110" width="21.7265625" hidden="1" customWidth="1" outlineLevel="1"/>
    <col min="111" max="111" width="27.7265625" hidden="1" customWidth="1" outlineLevel="1"/>
    <col min="112" max="112" width="14.453125" hidden="1" customWidth="1" outlineLevel="1"/>
    <col min="113" max="113" width="10.7265625" hidden="1" customWidth="1" outlineLevel="1"/>
    <col min="114" max="114" width="12" hidden="1" customWidth="1" outlineLevel="1"/>
    <col min="115" max="115" width="20.54296875" hidden="1" customWidth="1" outlineLevel="1"/>
    <col min="116" max="116" width="13" hidden="1" customWidth="1" outlineLevel="1"/>
    <col min="117" max="117" width="12.26953125" hidden="1" customWidth="1" outlineLevel="1"/>
    <col min="118" max="118" width="10.1796875" hidden="1" customWidth="1" outlineLevel="1"/>
    <col min="119" max="119" width="2.81640625" hidden="1" customWidth="1" outlineLevel="1"/>
    <col min="120" max="120" width="4" style="86" customWidth="1" collapsed="1"/>
    <col min="121" max="121" width="7.7265625" customWidth="1"/>
    <col min="122" max="122" width="21.7265625" customWidth="1"/>
    <col min="123" max="123" width="27.7265625" customWidth="1"/>
    <col min="124" max="124" width="14.453125" customWidth="1"/>
    <col min="125" max="125" width="10.7265625" customWidth="1"/>
    <col min="126" max="126" width="12" customWidth="1"/>
    <col min="127" max="127" width="20.54296875" customWidth="1"/>
    <col min="128" max="128" width="13" customWidth="1"/>
    <col min="129" max="129" width="12.26953125" customWidth="1"/>
    <col min="130" max="130" width="9" customWidth="1"/>
    <col min="131" max="131" width="2.81640625" customWidth="1"/>
    <col min="132" max="132" width="4" style="86" hidden="1" customWidth="1" outlineLevel="1"/>
    <col min="133" max="133" width="7.7265625" hidden="1" customWidth="1" outlineLevel="1"/>
    <col min="134" max="134" width="21.7265625" hidden="1" customWidth="1" outlineLevel="1"/>
    <col min="135" max="135" width="27.7265625" hidden="1" customWidth="1" outlineLevel="1"/>
    <col min="136" max="136" width="14.453125" hidden="1" customWidth="1" outlineLevel="1"/>
    <col min="137" max="137" width="10.7265625" hidden="1" customWidth="1" outlineLevel="1"/>
    <col min="138" max="138" width="12" hidden="1" customWidth="1" outlineLevel="1"/>
    <col min="139" max="139" width="20.54296875" hidden="1" customWidth="1" outlineLevel="1"/>
    <col min="140" max="140" width="13" hidden="1" customWidth="1" outlineLevel="1"/>
    <col min="141" max="141" width="12.26953125" hidden="1" customWidth="1" outlineLevel="1"/>
    <col min="142" max="142" width="10.1796875" hidden="1" customWidth="1" outlineLevel="1"/>
    <col min="143" max="143" width="9.1796875" collapsed="1"/>
  </cols>
  <sheetData>
    <row r="1" spans="1:146" x14ac:dyDescent="0.3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3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3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P3" t="s">
        <v>1533</v>
      </c>
    </row>
    <row r="4" spans="1:146" x14ac:dyDescent="0.35">
      <c r="A4" s="86" t="str">
        <f t="shared" ref="A4:A67" si="5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6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7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8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9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0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</row>
    <row r="5" spans="1:146" x14ac:dyDescent="0.35">
      <c r="A5" s="86" t="str">
        <f t="shared" si="5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6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7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8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9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0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</row>
    <row r="6" spans="1:146" x14ac:dyDescent="0.35">
      <c r="A6" s="86" t="str">
        <f t="shared" si="5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6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7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8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9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0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</row>
    <row r="7" spans="1:146" x14ac:dyDescent="0.35">
      <c r="A7" s="86" t="str">
        <f t="shared" si="5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6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7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8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9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0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</row>
    <row r="8" spans="1:146" x14ac:dyDescent="0.35">
      <c r="A8" s="86" t="str">
        <f t="shared" si="5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6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7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8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9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0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</row>
    <row r="9" spans="1:146" x14ac:dyDescent="0.35">
      <c r="A9" s="86" t="str">
        <f t="shared" si="5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6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7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8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9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0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1861</v>
      </c>
      <c r="DV9" t="s">
        <v>1862</v>
      </c>
      <c r="DW9" t="s">
        <v>459</v>
      </c>
      <c r="DX9">
        <v>27.2</v>
      </c>
      <c r="DY9">
        <v>40</v>
      </c>
      <c r="DZ9">
        <v>88.62</v>
      </c>
    </row>
    <row r="10" spans="1:146" x14ac:dyDescent="0.35">
      <c r="A10" s="86" t="str">
        <f t="shared" si="5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6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7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8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9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0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1861</v>
      </c>
      <c r="DV10" t="s">
        <v>1862</v>
      </c>
      <c r="DW10" t="s">
        <v>1291</v>
      </c>
      <c r="DX10">
        <v>5</v>
      </c>
      <c r="DY10">
        <v>5</v>
      </c>
      <c r="DZ10">
        <v>88.62</v>
      </c>
    </row>
    <row r="11" spans="1:146" x14ac:dyDescent="0.35">
      <c r="A11" s="86" t="str">
        <f t="shared" si="5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6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7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8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9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0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1861</v>
      </c>
      <c r="DV11" t="s">
        <v>1862</v>
      </c>
      <c r="DW11" t="s">
        <v>111</v>
      </c>
      <c r="DX11">
        <v>5</v>
      </c>
      <c r="DY11">
        <v>5</v>
      </c>
      <c r="DZ11">
        <v>88.62</v>
      </c>
    </row>
    <row r="12" spans="1:146" x14ac:dyDescent="0.35">
      <c r="A12" s="86" t="str">
        <f t="shared" si="5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6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7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8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9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0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1861</v>
      </c>
      <c r="DV12" t="s">
        <v>1862</v>
      </c>
      <c r="DW12" t="s">
        <v>953</v>
      </c>
      <c r="DX12">
        <v>18</v>
      </c>
      <c r="DY12">
        <v>18</v>
      </c>
      <c r="DZ12">
        <v>88.62</v>
      </c>
    </row>
    <row r="13" spans="1:146" x14ac:dyDescent="0.35">
      <c r="A13" s="86" t="str">
        <f t="shared" si="5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6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7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8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9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0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1861</v>
      </c>
      <c r="DV13" t="s">
        <v>1862</v>
      </c>
      <c r="DW13" t="s">
        <v>457</v>
      </c>
      <c r="DX13">
        <v>21.425000000000001</v>
      </c>
      <c r="DY13">
        <v>25</v>
      </c>
      <c r="DZ13">
        <v>88.62</v>
      </c>
    </row>
    <row r="14" spans="1:146" x14ac:dyDescent="0.35">
      <c r="A14" s="86" t="str">
        <f t="shared" si="5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6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7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8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9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0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1861</v>
      </c>
      <c r="DV14" t="s">
        <v>1862</v>
      </c>
      <c r="DW14" t="s">
        <v>458</v>
      </c>
      <c r="DX14">
        <v>12</v>
      </c>
      <c r="DY14">
        <v>12</v>
      </c>
      <c r="DZ14">
        <v>88.62</v>
      </c>
    </row>
    <row r="15" spans="1:146" x14ac:dyDescent="0.35">
      <c r="A15" s="86" t="str">
        <f t="shared" si="5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6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7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8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9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0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</row>
    <row r="16" spans="1:146" x14ac:dyDescent="0.35">
      <c r="A16" s="86" t="str">
        <f t="shared" si="5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6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7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8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9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0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</row>
    <row r="17" spans="1:130" x14ac:dyDescent="0.35">
      <c r="A17" s="86" t="str">
        <f t="shared" si="5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6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7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8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9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0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</row>
    <row r="18" spans="1:130" x14ac:dyDescent="0.35">
      <c r="A18" s="86" t="str">
        <f t="shared" si="5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6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7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8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9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0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</row>
    <row r="19" spans="1:130" x14ac:dyDescent="0.35">
      <c r="A19" s="86" t="str">
        <f t="shared" si="5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6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7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8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9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0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</row>
    <row r="20" spans="1:130" x14ac:dyDescent="0.35">
      <c r="A20" s="86" t="str">
        <f t="shared" si="5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6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7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8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9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0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</row>
    <row r="21" spans="1:130" x14ac:dyDescent="0.35">
      <c r="A21" s="86" t="str">
        <f t="shared" si="5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6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7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8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9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0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</row>
    <row r="22" spans="1:130" x14ac:dyDescent="0.35">
      <c r="A22" s="86" t="str">
        <f t="shared" si="5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6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7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8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9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0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</row>
    <row r="23" spans="1:130" x14ac:dyDescent="0.35">
      <c r="A23" s="86" t="str">
        <f t="shared" si="5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6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7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8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9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0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</row>
    <row r="24" spans="1:130" x14ac:dyDescent="0.35">
      <c r="A24" s="86" t="str">
        <f t="shared" si="5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6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7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8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9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0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</row>
    <row r="25" spans="1:130" x14ac:dyDescent="0.35">
      <c r="A25" s="86" t="str">
        <f t="shared" si="5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6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7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8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9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0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</row>
    <row r="26" spans="1:130" x14ac:dyDescent="0.35">
      <c r="A26" s="86" t="str">
        <f t="shared" si="5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6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7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8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9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0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</row>
    <row r="27" spans="1:130" x14ac:dyDescent="0.35">
      <c r="A27" s="86" t="str">
        <f t="shared" si="5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6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7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8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9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0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</row>
    <row r="28" spans="1:130" x14ac:dyDescent="0.35">
      <c r="A28" s="86" t="str">
        <f t="shared" si="5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6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7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8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9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0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</row>
    <row r="29" spans="1:130" x14ac:dyDescent="0.35">
      <c r="A29" s="86" t="str">
        <f t="shared" si="5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6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7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8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9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0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</row>
    <row r="30" spans="1:130" x14ac:dyDescent="0.35">
      <c r="A30" s="86" t="str">
        <f t="shared" si="5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6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7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8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9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0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</row>
    <row r="31" spans="1:130" x14ac:dyDescent="0.35">
      <c r="A31" s="86" t="str">
        <f t="shared" si="5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6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7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8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9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0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</row>
    <row r="32" spans="1:130" x14ac:dyDescent="0.35">
      <c r="A32" s="86" t="str">
        <f t="shared" si="5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6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7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8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9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0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</row>
    <row r="33" spans="1:130" x14ac:dyDescent="0.35">
      <c r="A33" s="86" t="str">
        <f t="shared" si="5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6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7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8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9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0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</row>
    <row r="34" spans="1:130" x14ac:dyDescent="0.35">
      <c r="A34" s="86" t="str">
        <f t="shared" si="5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6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7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8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9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0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</row>
    <row r="35" spans="1:130" x14ac:dyDescent="0.35">
      <c r="A35" s="86" t="str">
        <f t="shared" si="5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6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7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8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9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0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</row>
    <row r="36" spans="1:130" x14ac:dyDescent="0.35">
      <c r="A36" s="86" t="str">
        <f t="shared" si="5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6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7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8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9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0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</row>
    <row r="37" spans="1:130" x14ac:dyDescent="0.35">
      <c r="A37" s="86" t="str">
        <f t="shared" si="5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6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7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8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9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0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</row>
    <row r="38" spans="1:130" x14ac:dyDescent="0.35">
      <c r="A38" s="86" t="str">
        <f t="shared" si="5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6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7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8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9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0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</row>
    <row r="39" spans="1:130" x14ac:dyDescent="0.35">
      <c r="A39" s="86" t="str">
        <f t="shared" si="5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6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7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8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9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0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</row>
    <row r="40" spans="1:130" x14ac:dyDescent="0.35">
      <c r="A40" s="86" t="str">
        <f t="shared" si="5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6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7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8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9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0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</row>
    <row r="41" spans="1:130" x14ac:dyDescent="0.35">
      <c r="A41" s="86" t="str">
        <f t="shared" si="5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6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7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8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9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0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</row>
    <row r="42" spans="1:130" x14ac:dyDescent="0.35">
      <c r="A42" s="86" t="str">
        <f t="shared" si="5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6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7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8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9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0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</row>
    <row r="43" spans="1:130" x14ac:dyDescent="0.35">
      <c r="A43" s="86" t="str">
        <f t="shared" si="5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6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7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8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9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0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</row>
    <row r="44" spans="1:130" x14ac:dyDescent="0.35">
      <c r="A44" s="86" t="str">
        <f t="shared" si="5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6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7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8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9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0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</row>
    <row r="45" spans="1:130" x14ac:dyDescent="0.35">
      <c r="A45" s="86" t="str">
        <f t="shared" si="5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6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7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8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9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0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</row>
    <row r="46" spans="1:130" x14ac:dyDescent="0.35">
      <c r="A46" s="86" t="str">
        <f t="shared" si="5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6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7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8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9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0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</row>
    <row r="47" spans="1:130" x14ac:dyDescent="0.35">
      <c r="A47" s="86" t="str">
        <f t="shared" si="5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6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7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8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9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0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</row>
    <row r="48" spans="1:130" x14ac:dyDescent="0.35">
      <c r="A48" s="86" t="str">
        <f t="shared" si="5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6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7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8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9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0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</row>
    <row r="49" spans="1:130" x14ac:dyDescent="0.35">
      <c r="A49" s="86" t="str">
        <f t="shared" si="5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6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7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8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9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0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</row>
    <row r="50" spans="1:130" x14ac:dyDescent="0.35">
      <c r="A50" s="86" t="str">
        <f t="shared" si="5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6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7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8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9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0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</row>
    <row r="51" spans="1:130" x14ac:dyDescent="0.35">
      <c r="A51" s="86" t="str">
        <f t="shared" si="5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6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7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8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9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0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</row>
    <row r="52" spans="1:130" x14ac:dyDescent="0.35">
      <c r="A52" s="86" t="str">
        <f t="shared" si="5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6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7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8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9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0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</row>
    <row r="53" spans="1:130" x14ac:dyDescent="0.35">
      <c r="A53" s="86" t="str">
        <f t="shared" si="5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6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7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8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9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0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</row>
    <row r="54" spans="1:130" x14ac:dyDescent="0.35">
      <c r="A54" s="86" t="str">
        <f t="shared" si="5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6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7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8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9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0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</row>
    <row r="55" spans="1:130" x14ac:dyDescent="0.35">
      <c r="A55" s="86" t="str">
        <f t="shared" si="5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6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7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8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9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0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</row>
    <row r="56" spans="1:130" x14ac:dyDescent="0.35">
      <c r="A56" s="86" t="str">
        <f t="shared" si="5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6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7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8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9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0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</row>
    <row r="57" spans="1:130" x14ac:dyDescent="0.35">
      <c r="A57" s="86" t="str">
        <f t="shared" si="5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6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7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8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9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0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</row>
    <row r="58" spans="1:130" x14ac:dyDescent="0.35">
      <c r="A58" s="86" t="str">
        <f t="shared" si="5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6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7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8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9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0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</row>
    <row r="59" spans="1:130" x14ac:dyDescent="0.35">
      <c r="A59" s="86" t="str">
        <f t="shared" si="5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6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7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8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9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0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</row>
    <row r="60" spans="1:130" x14ac:dyDescent="0.35">
      <c r="A60" s="86" t="str">
        <f t="shared" si="5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6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7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8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9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0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</row>
    <row r="61" spans="1:130" x14ac:dyDescent="0.35">
      <c r="A61" s="86" t="str">
        <f t="shared" si="5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6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7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8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9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0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</row>
    <row r="62" spans="1:130" x14ac:dyDescent="0.35">
      <c r="A62" s="86" t="str">
        <f t="shared" si="5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6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7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8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9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0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</row>
    <row r="63" spans="1:130" x14ac:dyDescent="0.35">
      <c r="A63" s="86" t="str">
        <f t="shared" si="5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6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7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8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9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0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</row>
    <row r="64" spans="1:130" x14ac:dyDescent="0.35">
      <c r="A64" s="86" t="str">
        <f t="shared" si="5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6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7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8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9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0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</row>
    <row r="65" spans="1:130" x14ac:dyDescent="0.35">
      <c r="A65" s="86" t="str">
        <f t="shared" si="5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6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7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8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9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0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</row>
    <row r="66" spans="1:130" x14ac:dyDescent="0.35">
      <c r="A66" s="86" t="str">
        <f t="shared" si="5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6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7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8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9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0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</row>
    <row r="67" spans="1:130" x14ac:dyDescent="0.35">
      <c r="A67" s="86" t="str">
        <f t="shared" si="5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6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7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8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9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0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1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2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3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4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5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</row>
    <row r="68" spans="1:130" x14ac:dyDescent="0.35">
      <c r="A68" s="86" t="str">
        <f t="shared" ref="A68:A131" si="16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7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18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19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0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1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1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2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3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4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5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</row>
    <row r="69" spans="1:130" x14ac:dyDescent="0.35">
      <c r="A69" s="86" t="str">
        <f t="shared" si="16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7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18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19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0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1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1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2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3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4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5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</row>
    <row r="70" spans="1:130" x14ac:dyDescent="0.35">
      <c r="A70" s="86" t="str">
        <f t="shared" si="16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7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18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19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0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1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1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2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3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4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5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</row>
    <row r="71" spans="1:130" x14ac:dyDescent="0.35">
      <c r="A71" s="86" t="str">
        <f t="shared" si="16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7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18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19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0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1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1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2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3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4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5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</row>
    <row r="72" spans="1:130" x14ac:dyDescent="0.35">
      <c r="A72" s="86" t="str">
        <f t="shared" si="16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7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18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19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0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1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1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2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3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4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5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</row>
    <row r="73" spans="1:130" x14ac:dyDescent="0.35">
      <c r="A73" s="86" t="str">
        <f t="shared" si="16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7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18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19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0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1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1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2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3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4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5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</row>
    <row r="74" spans="1:130" x14ac:dyDescent="0.35">
      <c r="A74" s="86" t="str">
        <f t="shared" si="16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7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18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19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0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1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1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2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3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4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5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</row>
    <row r="75" spans="1:130" x14ac:dyDescent="0.35">
      <c r="A75" s="86" t="str">
        <f t="shared" si="16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7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18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19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0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1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1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2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3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4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5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</row>
    <row r="76" spans="1:130" x14ac:dyDescent="0.35">
      <c r="A76" s="86" t="str">
        <f t="shared" si="16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7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18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19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0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1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1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2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3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4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5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</row>
    <row r="77" spans="1:130" x14ac:dyDescent="0.35">
      <c r="A77" s="86" t="str">
        <f t="shared" si="16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7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18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19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0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1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1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2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3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4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5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</row>
    <row r="78" spans="1:130" x14ac:dyDescent="0.35">
      <c r="A78" s="86" t="str">
        <f t="shared" si="16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7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18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19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0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1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1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2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3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4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5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</row>
    <row r="79" spans="1:130" x14ac:dyDescent="0.35">
      <c r="A79" s="86" t="str">
        <f t="shared" si="16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7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18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19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0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1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1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2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3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4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5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</row>
    <row r="80" spans="1:130" x14ac:dyDescent="0.35">
      <c r="A80" s="86" t="str">
        <f t="shared" si="16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7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18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19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0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1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1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2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3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4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5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</row>
    <row r="81" spans="1:130" x14ac:dyDescent="0.35">
      <c r="A81" s="86" t="str">
        <f t="shared" si="16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7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18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19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0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1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1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2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3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4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5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</row>
    <row r="82" spans="1:130" x14ac:dyDescent="0.35">
      <c r="A82" s="86" t="str">
        <f t="shared" si="16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7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18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19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0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1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1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2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3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4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5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</row>
    <row r="83" spans="1:130" x14ac:dyDescent="0.35">
      <c r="A83" s="86" t="str">
        <f t="shared" si="16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7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18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19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0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1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1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2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3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4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5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</row>
    <row r="84" spans="1:130" x14ac:dyDescent="0.35">
      <c r="A84" s="86" t="str">
        <f t="shared" si="16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7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18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19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0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1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1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2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3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4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5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</row>
    <row r="85" spans="1:130" x14ac:dyDescent="0.35">
      <c r="A85" s="86" t="str">
        <f t="shared" si="16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7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18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19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0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1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1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2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3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4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5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</row>
    <row r="86" spans="1:130" x14ac:dyDescent="0.35">
      <c r="A86" s="86" t="str">
        <f t="shared" si="16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7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18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19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0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1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1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2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3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4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5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</row>
    <row r="87" spans="1:130" x14ac:dyDescent="0.35">
      <c r="A87" s="86" t="str">
        <f t="shared" si="16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7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18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19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0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1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1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2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3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4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5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</row>
    <row r="88" spans="1:130" x14ac:dyDescent="0.35">
      <c r="A88" s="86" t="str">
        <f t="shared" si="16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7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18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19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0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1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1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2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3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4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5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</row>
    <row r="89" spans="1:130" x14ac:dyDescent="0.35">
      <c r="A89" s="86" t="str">
        <f t="shared" si="16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7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18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19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0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1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1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2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3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4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5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</row>
    <row r="90" spans="1:130" x14ac:dyDescent="0.35">
      <c r="A90" s="86" t="str">
        <f t="shared" si="16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7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18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19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0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1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1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2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3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4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5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</row>
    <row r="91" spans="1:130" x14ac:dyDescent="0.35">
      <c r="A91" s="86" t="str">
        <f t="shared" si="16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7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18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19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0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1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1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2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3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4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5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</row>
    <row r="92" spans="1:130" x14ac:dyDescent="0.35">
      <c r="A92" s="86" t="str">
        <f t="shared" si="16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7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18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19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0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1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1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2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3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4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5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</row>
    <row r="93" spans="1:130" x14ac:dyDescent="0.35">
      <c r="A93" s="86" t="str">
        <f t="shared" si="16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7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18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19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0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1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1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2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3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4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5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</row>
    <row r="94" spans="1:130" x14ac:dyDescent="0.35">
      <c r="A94" s="86" t="str">
        <f t="shared" si="16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7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18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19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0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1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1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2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3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4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5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</row>
    <row r="95" spans="1:130" x14ac:dyDescent="0.35">
      <c r="A95" s="86" t="str">
        <f t="shared" si="16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7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18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19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0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1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1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2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3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4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5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</row>
    <row r="96" spans="1:130" x14ac:dyDescent="0.35">
      <c r="A96" s="86" t="str">
        <f t="shared" si="16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7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18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19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0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1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1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2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3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4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5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</row>
    <row r="97" spans="1:130" x14ac:dyDescent="0.35">
      <c r="A97" s="86" t="str">
        <f t="shared" si="16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7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18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19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0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1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1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2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3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4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5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</row>
    <row r="98" spans="1:130" x14ac:dyDescent="0.35">
      <c r="A98" s="86" t="str">
        <f t="shared" si="16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7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18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19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0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1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1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2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3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4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5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</row>
    <row r="99" spans="1:130" x14ac:dyDescent="0.35">
      <c r="A99" s="86" t="str">
        <f t="shared" si="16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7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18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19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0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1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1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2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3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4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5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</row>
    <row r="100" spans="1:130" x14ac:dyDescent="0.35">
      <c r="A100" s="86" t="str">
        <f t="shared" si="16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7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18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19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0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1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1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2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3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4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5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</row>
    <row r="101" spans="1:130" x14ac:dyDescent="0.35">
      <c r="A101" s="86" t="str">
        <f t="shared" si="16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7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18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19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0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1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1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2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3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4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5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</row>
    <row r="102" spans="1:130" x14ac:dyDescent="0.35">
      <c r="A102" s="86" t="str">
        <f t="shared" si="16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7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18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19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0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1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1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2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3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4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5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</row>
    <row r="103" spans="1:130" x14ac:dyDescent="0.35">
      <c r="A103" s="86" t="str">
        <f t="shared" si="16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7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18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19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0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1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1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2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3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4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5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</row>
    <row r="104" spans="1:130" x14ac:dyDescent="0.35">
      <c r="A104" s="86" t="str">
        <f t="shared" si="16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7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18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19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0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1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1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2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3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4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5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</row>
    <row r="105" spans="1:130" x14ac:dyDescent="0.35">
      <c r="A105" s="86" t="str">
        <f t="shared" si="16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7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18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19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0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1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1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2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3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4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5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1863</v>
      </c>
      <c r="DV105" t="s">
        <v>1864</v>
      </c>
      <c r="DW105" t="s">
        <v>459</v>
      </c>
      <c r="DX105">
        <v>25.6</v>
      </c>
      <c r="DY105">
        <v>40</v>
      </c>
      <c r="DZ105">
        <v>87.03</v>
      </c>
    </row>
    <row r="106" spans="1:130" x14ac:dyDescent="0.35">
      <c r="A106" s="86" t="str">
        <f t="shared" si="16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7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18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19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0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1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1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2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3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4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5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1863</v>
      </c>
      <c r="DV106" t="s">
        <v>1864</v>
      </c>
      <c r="DW106" t="s">
        <v>1291</v>
      </c>
      <c r="DX106">
        <v>5</v>
      </c>
      <c r="DY106">
        <v>5</v>
      </c>
      <c r="DZ106">
        <v>87.03</v>
      </c>
    </row>
    <row r="107" spans="1:130" x14ac:dyDescent="0.35">
      <c r="A107" s="86" t="str">
        <f t="shared" si="16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7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18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19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0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1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1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2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3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4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5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1863</v>
      </c>
      <c r="DV107" t="s">
        <v>1864</v>
      </c>
      <c r="DW107" t="s">
        <v>111</v>
      </c>
      <c r="DX107">
        <v>5</v>
      </c>
      <c r="DY107">
        <v>5</v>
      </c>
      <c r="DZ107">
        <v>87.03</v>
      </c>
    </row>
    <row r="108" spans="1:130" x14ac:dyDescent="0.35">
      <c r="A108" s="86" t="str">
        <f t="shared" si="16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7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18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19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0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1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1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2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3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4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5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1863</v>
      </c>
      <c r="DV108" t="s">
        <v>1864</v>
      </c>
      <c r="DW108" t="s">
        <v>953</v>
      </c>
      <c r="DX108">
        <v>18</v>
      </c>
      <c r="DY108">
        <v>18</v>
      </c>
      <c r="DZ108">
        <v>87.03</v>
      </c>
    </row>
    <row r="109" spans="1:130" x14ac:dyDescent="0.35">
      <c r="A109" s="86" t="str">
        <f t="shared" si="16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7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18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19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0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1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1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2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3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4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5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1863</v>
      </c>
      <c r="DV109" t="s">
        <v>1864</v>
      </c>
      <c r="DW109" t="s">
        <v>457</v>
      </c>
      <c r="DX109">
        <v>21.425000000000001</v>
      </c>
      <c r="DY109">
        <v>25</v>
      </c>
      <c r="DZ109">
        <v>87.03</v>
      </c>
    </row>
    <row r="110" spans="1:130" x14ac:dyDescent="0.35">
      <c r="A110" s="86" t="str">
        <f t="shared" si="16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7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18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19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0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1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1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2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3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4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5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1863</v>
      </c>
      <c r="DV110" t="s">
        <v>1864</v>
      </c>
      <c r="DW110" t="s">
        <v>458</v>
      </c>
      <c r="DX110">
        <v>12</v>
      </c>
      <c r="DY110">
        <v>12</v>
      </c>
      <c r="DZ110">
        <v>87.03</v>
      </c>
    </row>
    <row r="111" spans="1:130" x14ac:dyDescent="0.35">
      <c r="A111" s="86" t="str">
        <f t="shared" si="16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7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18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19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0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1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1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2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3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4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5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</row>
    <row r="112" spans="1:130" x14ac:dyDescent="0.35">
      <c r="A112" s="86" t="str">
        <f t="shared" si="16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7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18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19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0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1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1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2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3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4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5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</row>
    <row r="113" spans="1:130" x14ac:dyDescent="0.35">
      <c r="A113" s="86" t="str">
        <f t="shared" si="16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7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18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19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0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1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1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2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3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4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5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</row>
    <row r="114" spans="1:130" x14ac:dyDescent="0.35">
      <c r="A114" s="86" t="str">
        <f t="shared" si="16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7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18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19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0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1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1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2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3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4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5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</row>
    <row r="115" spans="1:130" x14ac:dyDescent="0.35">
      <c r="A115" s="86" t="str">
        <f t="shared" si="16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7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18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19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0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1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1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2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3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4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5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</row>
    <row r="116" spans="1:130" x14ac:dyDescent="0.35">
      <c r="A116" s="86" t="str">
        <f t="shared" si="16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7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18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19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0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1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1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2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3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4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5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</row>
    <row r="117" spans="1:130" x14ac:dyDescent="0.35">
      <c r="A117" s="86" t="str">
        <f t="shared" si="16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7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18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19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0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1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1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2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3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4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5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</row>
    <row r="118" spans="1:130" x14ac:dyDescent="0.35">
      <c r="A118" s="86" t="str">
        <f t="shared" si="16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7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18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19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0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1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1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2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3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4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5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</row>
    <row r="119" spans="1:130" x14ac:dyDescent="0.35">
      <c r="A119" s="86" t="str">
        <f t="shared" si="16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7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18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19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0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1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1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2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3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4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5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</row>
    <row r="120" spans="1:130" x14ac:dyDescent="0.35">
      <c r="A120" s="86" t="str">
        <f t="shared" si="16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7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18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19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0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1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1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2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3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4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5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</row>
    <row r="121" spans="1:130" x14ac:dyDescent="0.35">
      <c r="A121" s="86" t="str">
        <f t="shared" si="16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7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18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19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0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1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1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2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3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4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5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</row>
    <row r="122" spans="1:130" x14ac:dyDescent="0.35">
      <c r="A122" s="86" t="str">
        <f t="shared" si="16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7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18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19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0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1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1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2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3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4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5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</row>
    <row r="123" spans="1:130" x14ac:dyDescent="0.35">
      <c r="A123" s="86" t="str">
        <f t="shared" si="16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7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18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19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0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1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1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2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3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4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5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</row>
    <row r="124" spans="1:130" x14ac:dyDescent="0.35">
      <c r="A124" s="86" t="str">
        <f t="shared" si="16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7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18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19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0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1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1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2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3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4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5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</row>
    <row r="125" spans="1:130" x14ac:dyDescent="0.35">
      <c r="A125" s="86" t="str">
        <f t="shared" si="16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7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18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19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0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1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1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2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3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4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5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</row>
    <row r="126" spans="1:130" x14ac:dyDescent="0.35">
      <c r="A126" s="86" t="str">
        <f t="shared" si="16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7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18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19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0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1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1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2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3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4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5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</row>
    <row r="127" spans="1:130" x14ac:dyDescent="0.35">
      <c r="A127" s="86" t="str">
        <f t="shared" si="16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7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18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19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0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1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1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2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3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4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5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</row>
    <row r="128" spans="1:130" x14ac:dyDescent="0.35">
      <c r="A128" s="86" t="str">
        <f t="shared" si="16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7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18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19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0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1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1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2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3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4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5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</row>
    <row r="129" spans="1:130" x14ac:dyDescent="0.35">
      <c r="A129" s="86" t="str">
        <f t="shared" si="16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7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18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19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0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1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1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2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3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4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5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</row>
    <row r="130" spans="1:130" x14ac:dyDescent="0.35">
      <c r="A130" s="86" t="str">
        <f t="shared" si="16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7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18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19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0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1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1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2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3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4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5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</row>
    <row r="131" spans="1:130" x14ac:dyDescent="0.35">
      <c r="A131" s="86" t="str">
        <f t="shared" si="16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7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18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19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0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1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2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3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4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5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6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</row>
    <row r="132" spans="1:130" x14ac:dyDescent="0.35">
      <c r="A132" s="86" t="str">
        <f t="shared" ref="A132:A195" si="27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28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29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0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1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2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2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3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4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5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6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</row>
    <row r="133" spans="1:130" x14ac:dyDescent="0.35">
      <c r="A133" s="86" t="str">
        <f t="shared" si="27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28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29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0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1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2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2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3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4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5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6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</row>
    <row r="134" spans="1:130" x14ac:dyDescent="0.35">
      <c r="A134" s="86" t="str">
        <f t="shared" si="27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28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29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0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1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2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2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3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4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5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6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</row>
    <row r="135" spans="1:130" x14ac:dyDescent="0.35">
      <c r="A135" s="86" t="str">
        <f t="shared" si="27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28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29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0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1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2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2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3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4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5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6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</row>
    <row r="136" spans="1:130" x14ac:dyDescent="0.35">
      <c r="A136" s="86" t="str">
        <f t="shared" si="27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28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29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0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1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2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2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3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4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5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6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</row>
    <row r="137" spans="1:130" x14ac:dyDescent="0.35">
      <c r="A137" s="86" t="str">
        <f t="shared" si="27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28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29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0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1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2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2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3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4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5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6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</row>
    <row r="138" spans="1:130" x14ac:dyDescent="0.35">
      <c r="A138" s="86" t="str">
        <f t="shared" si="27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28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29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0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1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2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2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3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4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5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6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</row>
    <row r="139" spans="1:130" x14ac:dyDescent="0.35">
      <c r="A139" s="86" t="str">
        <f t="shared" si="27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28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29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0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1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2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2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3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4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5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6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</row>
    <row r="140" spans="1:130" x14ac:dyDescent="0.35">
      <c r="A140" s="86" t="str">
        <f t="shared" si="27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28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29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0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1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2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2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3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4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5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6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</row>
    <row r="141" spans="1:130" x14ac:dyDescent="0.35">
      <c r="A141" s="86" t="str">
        <f t="shared" si="27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28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29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0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1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2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2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3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4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5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6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</row>
    <row r="142" spans="1:130" x14ac:dyDescent="0.35">
      <c r="A142" s="86" t="str">
        <f t="shared" si="27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28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29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0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1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2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2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3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4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5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6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</row>
    <row r="143" spans="1:130" x14ac:dyDescent="0.35">
      <c r="A143" s="86" t="str">
        <f t="shared" si="27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28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29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0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1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2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2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3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4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5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6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</row>
    <row r="144" spans="1:130" x14ac:dyDescent="0.35">
      <c r="A144" s="86" t="str">
        <f t="shared" si="27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28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29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0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1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2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2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3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4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5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6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</row>
    <row r="145" spans="1:130" x14ac:dyDescent="0.35">
      <c r="A145" s="86" t="str">
        <f t="shared" si="27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28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29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0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1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2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2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3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4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5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6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</row>
    <row r="146" spans="1:130" x14ac:dyDescent="0.35">
      <c r="A146" s="86" t="str">
        <f t="shared" si="27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28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29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0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1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2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2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3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4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5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6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</row>
    <row r="147" spans="1:130" x14ac:dyDescent="0.35">
      <c r="A147" s="86" t="str">
        <f t="shared" si="27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28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29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0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1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2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2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3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4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5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6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</row>
    <row r="148" spans="1:130" x14ac:dyDescent="0.35">
      <c r="A148" s="86" t="str">
        <f t="shared" si="27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28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29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0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1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2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2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3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4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5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6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</row>
    <row r="149" spans="1:130" x14ac:dyDescent="0.35">
      <c r="A149" s="86" t="str">
        <f t="shared" si="27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28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29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0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1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2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2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3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4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5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6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</row>
    <row r="150" spans="1:130" x14ac:dyDescent="0.35">
      <c r="A150" s="86" t="str">
        <f t="shared" si="27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28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29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0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1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2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2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3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4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5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6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</row>
    <row r="151" spans="1:130" x14ac:dyDescent="0.35">
      <c r="A151" s="86" t="str">
        <f t="shared" si="27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28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29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0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1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2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2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3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4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5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6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</row>
    <row r="152" spans="1:130" x14ac:dyDescent="0.35">
      <c r="A152" s="86" t="str">
        <f t="shared" si="27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28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29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0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1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2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2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3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4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5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6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</row>
    <row r="153" spans="1:130" x14ac:dyDescent="0.35">
      <c r="A153" s="86" t="str">
        <f t="shared" si="27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28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29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0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1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2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2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3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4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5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6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</row>
    <row r="154" spans="1:130" x14ac:dyDescent="0.35">
      <c r="A154" s="86" t="str">
        <f t="shared" si="27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28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29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0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1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2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2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3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4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5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6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</row>
    <row r="155" spans="1:130" x14ac:dyDescent="0.35">
      <c r="A155" s="86" t="str">
        <f t="shared" si="27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28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29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0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1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2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2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3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4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5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6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</row>
    <row r="156" spans="1:130" x14ac:dyDescent="0.35">
      <c r="A156" s="86" t="str">
        <f t="shared" si="27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28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29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0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1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2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2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3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4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5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6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</row>
    <row r="157" spans="1:130" x14ac:dyDescent="0.35">
      <c r="A157" s="86" t="str">
        <f t="shared" si="27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28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29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0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1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2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2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3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4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5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6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</row>
    <row r="158" spans="1:130" x14ac:dyDescent="0.35">
      <c r="A158" s="86" t="str">
        <f t="shared" si="27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28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29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0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1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2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2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3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4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5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6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</row>
    <row r="159" spans="1:130" x14ac:dyDescent="0.35">
      <c r="A159" s="86" t="str">
        <f t="shared" si="27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28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29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0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1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2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2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3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4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5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6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</row>
    <row r="160" spans="1:130" x14ac:dyDescent="0.35">
      <c r="A160" s="86" t="str">
        <f t="shared" si="27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28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29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0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1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2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2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3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4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5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6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</row>
    <row r="161" spans="1:130" x14ac:dyDescent="0.35">
      <c r="A161" s="86" t="str">
        <f t="shared" si="27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28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29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0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1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2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2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3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4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5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6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</row>
    <row r="162" spans="1:130" x14ac:dyDescent="0.35">
      <c r="A162" s="86" t="str">
        <f t="shared" si="27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28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29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0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1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2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2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3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4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5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6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</row>
    <row r="163" spans="1:130" x14ac:dyDescent="0.35">
      <c r="A163" s="86" t="str">
        <f t="shared" si="27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28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29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0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1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2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2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3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4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5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6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</row>
    <row r="164" spans="1:130" x14ac:dyDescent="0.35">
      <c r="A164" s="86" t="str">
        <f t="shared" si="27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28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29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0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1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2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2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3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4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5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6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</row>
    <row r="165" spans="1:130" x14ac:dyDescent="0.35">
      <c r="A165" s="86" t="str">
        <f t="shared" si="27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28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29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0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1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2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2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3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4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5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6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</row>
    <row r="166" spans="1:130" x14ac:dyDescent="0.35">
      <c r="A166" s="86" t="str">
        <f t="shared" si="27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28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29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0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1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2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2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3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4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5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6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</row>
    <row r="167" spans="1:130" x14ac:dyDescent="0.35">
      <c r="A167" s="86" t="str">
        <f t="shared" si="27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28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29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0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1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2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2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3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4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5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6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</row>
    <row r="168" spans="1:130" x14ac:dyDescent="0.35">
      <c r="A168" s="86" t="str">
        <f t="shared" si="27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28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29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0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1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2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2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3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4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5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6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</row>
    <row r="169" spans="1:130" x14ac:dyDescent="0.35">
      <c r="A169" s="86" t="str">
        <f t="shared" si="27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28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29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0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1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2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2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3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4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5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6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</row>
    <row r="170" spans="1:130" x14ac:dyDescent="0.35">
      <c r="A170" s="86" t="str">
        <f t="shared" si="27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28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29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0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1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2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2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3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4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5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6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</row>
    <row r="171" spans="1:130" x14ac:dyDescent="0.35">
      <c r="A171" s="86" t="str">
        <f t="shared" si="27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28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29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0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1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2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2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3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4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5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6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</row>
    <row r="172" spans="1:130" x14ac:dyDescent="0.35">
      <c r="A172" s="86" t="str">
        <f t="shared" si="27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28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29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0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1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2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2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3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4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5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6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</row>
    <row r="173" spans="1:130" x14ac:dyDescent="0.35">
      <c r="A173" s="86" t="str">
        <f t="shared" si="27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28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29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0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1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2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2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3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4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5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6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</row>
    <row r="174" spans="1:130" x14ac:dyDescent="0.35">
      <c r="A174" s="86" t="str">
        <f t="shared" si="27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28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29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0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1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2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2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3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4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5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6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</row>
    <row r="175" spans="1:130" x14ac:dyDescent="0.35">
      <c r="A175" s="86" t="str">
        <f t="shared" si="27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28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29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0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1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2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2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3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4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5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6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</row>
    <row r="176" spans="1:130" x14ac:dyDescent="0.35">
      <c r="A176" s="86" t="str">
        <f t="shared" si="27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28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29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0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1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2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2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3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4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5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6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</row>
    <row r="177" spans="1:130" x14ac:dyDescent="0.35">
      <c r="A177" s="86" t="str">
        <f t="shared" si="27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28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29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0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1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2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2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3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4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5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6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</row>
    <row r="178" spans="1:130" x14ac:dyDescent="0.35">
      <c r="A178" s="86" t="str">
        <f t="shared" si="27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28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29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0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1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2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2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3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4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5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6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</row>
    <row r="179" spans="1:130" x14ac:dyDescent="0.35">
      <c r="A179" s="86" t="str">
        <f t="shared" si="27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28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29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0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1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2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2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3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4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5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6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</row>
    <row r="180" spans="1:130" x14ac:dyDescent="0.35">
      <c r="A180" s="86" t="str">
        <f t="shared" si="27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28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29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0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1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2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2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3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4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5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6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</row>
    <row r="181" spans="1:130" x14ac:dyDescent="0.35">
      <c r="A181" s="86" t="str">
        <f t="shared" si="27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28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29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0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1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2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2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3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4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5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6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</row>
    <row r="182" spans="1:130" x14ac:dyDescent="0.35">
      <c r="A182" s="86" t="str">
        <f t="shared" si="27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28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29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0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1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2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2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3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4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5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6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</row>
    <row r="183" spans="1:130" x14ac:dyDescent="0.35">
      <c r="A183" s="86" t="str">
        <f t="shared" si="27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28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29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0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1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2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2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3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4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5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6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</row>
    <row r="184" spans="1:130" x14ac:dyDescent="0.35">
      <c r="A184" s="86" t="str">
        <f t="shared" si="27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28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29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0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1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2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2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3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4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5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6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</row>
    <row r="185" spans="1:130" x14ac:dyDescent="0.35">
      <c r="A185" s="86" t="str">
        <f t="shared" si="27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28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29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0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1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2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2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3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4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5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6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</row>
    <row r="186" spans="1:130" x14ac:dyDescent="0.35">
      <c r="A186" s="86" t="str">
        <f t="shared" si="27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28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29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0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1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2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2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3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4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5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6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</row>
    <row r="187" spans="1:130" x14ac:dyDescent="0.35">
      <c r="A187" s="86" t="str">
        <f t="shared" si="27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28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29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0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1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2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2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3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4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5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6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</row>
    <row r="188" spans="1:130" x14ac:dyDescent="0.35">
      <c r="A188" s="86" t="str">
        <f t="shared" si="27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28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29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0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1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2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2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3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4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5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6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</row>
    <row r="189" spans="1:130" x14ac:dyDescent="0.35">
      <c r="A189" s="86" t="str">
        <f t="shared" si="27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28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29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0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1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2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2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3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4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5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6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</row>
    <row r="190" spans="1:130" x14ac:dyDescent="0.35">
      <c r="A190" s="86" t="str">
        <f t="shared" si="27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28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29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0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1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2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2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3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4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5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6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</row>
    <row r="191" spans="1:130" x14ac:dyDescent="0.35">
      <c r="A191" s="86" t="str">
        <f t="shared" si="27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28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29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0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1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2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2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3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4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5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6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</row>
    <row r="192" spans="1:130" x14ac:dyDescent="0.35">
      <c r="A192" s="86" t="str">
        <f t="shared" si="27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28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29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0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1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2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2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3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4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5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6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</row>
    <row r="193" spans="1:130" x14ac:dyDescent="0.35">
      <c r="A193" s="86" t="str">
        <f t="shared" si="27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28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29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0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1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2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2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3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4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5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6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</row>
    <row r="194" spans="1:130" x14ac:dyDescent="0.35">
      <c r="A194" s="86" t="str">
        <f t="shared" si="27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28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29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0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1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2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2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3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4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5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6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</row>
    <row r="195" spans="1:130" x14ac:dyDescent="0.35">
      <c r="A195" s="86" t="str">
        <f t="shared" si="27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28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29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0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1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2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3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4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5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6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37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</row>
    <row r="196" spans="1:130" x14ac:dyDescent="0.35">
      <c r="A196" s="86" t="str">
        <f t="shared" ref="A196:A259" si="38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39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0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1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2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3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3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4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5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6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37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</row>
    <row r="197" spans="1:130" x14ac:dyDescent="0.35">
      <c r="A197" s="86" t="str">
        <f t="shared" si="38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39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0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1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2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3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3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4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5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6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37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</row>
    <row r="198" spans="1:130" x14ac:dyDescent="0.35">
      <c r="A198" s="86" t="str">
        <f t="shared" si="38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39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0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1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2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3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3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4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5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6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37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</row>
    <row r="199" spans="1:130" x14ac:dyDescent="0.35">
      <c r="A199" s="86" t="str">
        <f t="shared" si="38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39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0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1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2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3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3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4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5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6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37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</row>
    <row r="200" spans="1:130" x14ac:dyDescent="0.35">
      <c r="A200" s="86" t="str">
        <f t="shared" si="38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39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0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1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2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3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3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4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5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6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37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</row>
    <row r="201" spans="1:130" x14ac:dyDescent="0.35">
      <c r="A201" s="86" t="str">
        <f t="shared" si="38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39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0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1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2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3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3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4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5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6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37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</row>
    <row r="202" spans="1:130" x14ac:dyDescent="0.35">
      <c r="A202" s="86" t="str">
        <f t="shared" si="38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39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0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1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2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3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3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4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5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6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37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</row>
    <row r="203" spans="1:130" x14ac:dyDescent="0.35">
      <c r="A203" s="86" t="str">
        <f t="shared" si="38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39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0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1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2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3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3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4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5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6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37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</row>
    <row r="204" spans="1:130" x14ac:dyDescent="0.35">
      <c r="A204" s="86" t="str">
        <f t="shared" si="38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39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0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1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2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3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3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4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5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6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37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</row>
    <row r="205" spans="1:130" x14ac:dyDescent="0.35">
      <c r="A205" s="86" t="str">
        <f t="shared" si="38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39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0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1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2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3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3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4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5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6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37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</row>
    <row r="206" spans="1:130" x14ac:dyDescent="0.35">
      <c r="A206" s="86" t="str">
        <f t="shared" si="38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39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0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1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2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3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3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4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5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6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37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</row>
    <row r="207" spans="1:130" x14ac:dyDescent="0.35">
      <c r="A207" s="86" t="str">
        <f t="shared" si="38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39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0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1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2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3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3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4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5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6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37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</row>
    <row r="208" spans="1:130" x14ac:dyDescent="0.35">
      <c r="A208" s="86" t="str">
        <f t="shared" si="38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39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0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1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2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3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3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4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5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6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37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</row>
    <row r="209" spans="1:130" x14ac:dyDescent="0.35">
      <c r="A209" s="86" t="str">
        <f t="shared" si="38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39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0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1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2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3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3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4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5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6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37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</row>
    <row r="210" spans="1:130" x14ac:dyDescent="0.35">
      <c r="A210" s="86" t="str">
        <f t="shared" si="38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39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0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1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2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3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3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4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5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6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37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</row>
    <row r="211" spans="1:130" x14ac:dyDescent="0.35">
      <c r="A211" s="86" t="str">
        <f t="shared" si="38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39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0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1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2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3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3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4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5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6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37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</row>
    <row r="212" spans="1:130" x14ac:dyDescent="0.35">
      <c r="A212" s="86" t="str">
        <f t="shared" si="38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39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0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1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2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3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3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4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5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6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37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</row>
    <row r="213" spans="1:130" x14ac:dyDescent="0.35">
      <c r="A213" s="86" t="str">
        <f t="shared" si="38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39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0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1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2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3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3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4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5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6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37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</row>
    <row r="214" spans="1:130" x14ac:dyDescent="0.35">
      <c r="A214" s="86" t="str">
        <f t="shared" si="38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39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0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1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2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3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3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4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5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6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37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</row>
    <row r="215" spans="1:130" x14ac:dyDescent="0.35">
      <c r="A215" s="86" t="str">
        <f t="shared" si="38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39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0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1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2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3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3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4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5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6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37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</row>
    <row r="216" spans="1:130" x14ac:dyDescent="0.35">
      <c r="A216" s="86" t="str">
        <f t="shared" si="38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39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0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1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2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3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3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4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5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6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37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</row>
    <row r="217" spans="1:130" x14ac:dyDescent="0.35">
      <c r="A217" s="86" t="str">
        <f t="shared" si="38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39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0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1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2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3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3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4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5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6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37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</row>
    <row r="218" spans="1:130" x14ac:dyDescent="0.35">
      <c r="A218" s="86" t="str">
        <f t="shared" si="38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39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0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1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2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3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3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4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5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6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37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</row>
    <row r="219" spans="1:130" x14ac:dyDescent="0.35">
      <c r="A219" s="86" t="str">
        <f t="shared" si="38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39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0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1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2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3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3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4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5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6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37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</row>
    <row r="220" spans="1:130" x14ac:dyDescent="0.35">
      <c r="A220" s="86" t="str">
        <f t="shared" si="38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39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0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1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2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3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3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4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5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6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37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</row>
    <row r="221" spans="1:130" x14ac:dyDescent="0.35">
      <c r="A221" s="86" t="str">
        <f t="shared" si="38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39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0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1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2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3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3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4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5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6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37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</row>
    <row r="222" spans="1:130" x14ac:dyDescent="0.35">
      <c r="A222" s="86" t="str">
        <f t="shared" si="38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39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0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1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2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3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3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4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5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6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37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</row>
    <row r="223" spans="1:130" x14ac:dyDescent="0.35">
      <c r="A223" s="86" t="str">
        <f t="shared" si="38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39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0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1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2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3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3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4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5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6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37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</row>
    <row r="224" spans="1:130" x14ac:dyDescent="0.35">
      <c r="A224" s="86" t="str">
        <f t="shared" si="38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39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0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1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2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3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3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4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5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6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37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</row>
    <row r="225" spans="1:130" x14ac:dyDescent="0.35">
      <c r="A225" s="86" t="str">
        <f t="shared" si="38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39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0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1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2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3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3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4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5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6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37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</row>
    <row r="226" spans="1:130" x14ac:dyDescent="0.35">
      <c r="A226" s="86" t="str">
        <f t="shared" si="38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39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0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1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2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3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3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4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5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6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37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</row>
    <row r="227" spans="1:130" x14ac:dyDescent="0.35">
      <c r="A227" s="86" t="str">
        <f t="shared" si="38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39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0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1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2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3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3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4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5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6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37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</row>
    <row r="228" spans="1:130" x14ac:dyDescent="0.35">
      <c r="A228" s="86" t="str">
        <f t="shared" si="38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39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0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1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2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3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3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4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5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6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37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</row>
    <row r="229" spans="1:130" x14ac:dyDescent="0.35">
      <c r="A229" s="86" t="str">
        <f t="shared" si="38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39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0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1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2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3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3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4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5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6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37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</row>
    <row r="230" spans="1:130" x14ac:dyDescent="0.35">
      <c r="A230" s="86" t="str">
        <f t="shared" si="38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39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0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1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2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3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3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4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5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6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37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</row>
    <row r="231" spans="1:130" x14ac:dyDescent="0.35">
      <c r="A231" s="86" t="str">
        <f t="shared" si="38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39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0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1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2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3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3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4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5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6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37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</row>
    <row r="232" spans="1:130" x14ac:dyDescent="0.35">
      <c r="A232" s="86" t="str">
        <f t="shared" si="38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39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0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1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2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3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3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4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5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6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37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</row>
    <row r="233" spans="1:130" x14ac:dyDescent="0.35">
      <c r="A233" s="86" t="str">
        <f t="shared" si="38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39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0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1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2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3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3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4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5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6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37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</row>
    <row r="234" spans="1:130" x14ac:dyDescent="0.35">
      <c r="A234" s="86" t="str">
        <f t="shared" si="38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39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0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1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2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3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3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4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5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6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37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</row>
    <row r="235" spans="1:130" x14ac:dyDescent="0.35">
      <c r="A235" s="86" t="str">
        <f t="shared" si="38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39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0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1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2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3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3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4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5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6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37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</row>
    <row r="236" spans="1:130" x14ac:dyDescent="0.35">
      <c r="A236" s="86" t="str">
        <f t="shared" si="38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39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0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1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2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3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3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4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5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6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37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</row>
    <row r="237" spans="1:130" x14ac:dyDescent="0.35">
      <c r="A237" s="86" t="str">
        <f t="shared" si="38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39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0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1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2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3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3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4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5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6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37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</row>
    <row r="238" spans="1:130" x14ac:dyDescent="0.35">
      <c r="A238" s="86" t="str">
        <f t="shared" si="38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39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0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1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2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3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3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4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5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6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37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</row>
    <row r="239" spans="1:130" x14ac:dyDescent="0.35">
      <c r="A239" s="86" t="str">
        <f t="shared" si="38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39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0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1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2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3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3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4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5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6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37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</row>
    <row r="240" spans="1:130" x14ac:dyDescent="0.35">
      <c r="A240" s="86" t="str">
        <f t="shared" si="38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39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0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1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2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3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3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4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5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6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37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</row>
    <row r="241" spans="1:130" x14ac:dyDescent="0.35">
      <c r="A241" s="86" t="str">
        <f t="shared" si="38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39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0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1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2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3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3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4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5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6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37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</row>
    <row r="242" spans="1:130" x14ac:dyDescent="0.35">
      <c r="A242" s="86" t="str">
        <f t="shared" si="38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39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0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1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2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3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3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4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5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6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37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</row>
    <row r="243" spans="1:130" x14ac:dyDescent="0.35">
      <c r="A243" s="86" t="str">
        <f t="shared" si="38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39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0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1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2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3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3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4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5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6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37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</row>
    <row r="244" spans="1:130" x14ac:dyDescent="0.35">
      <c r="A244" s="86" t="str">
        <f t="shared" si="38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39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0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1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2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3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3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4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5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6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37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</row>
    <row r="245" spans="1:130" x14ac:dyDescent="0.35">
      <c r="A245" s="86" t="str">
        <f t="shared" si="38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39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0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1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2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3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3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4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5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6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37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</row>
    <row r="246" spans="1:130" x14ac:dyDescent="0.35">
      <c r="A246" s="86" t="str">
        <f t="shared" si="38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39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0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1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2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3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3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4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5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6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37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</row>
    <row r="247" spans="1:130" x14ac:dyDescent="0.35">
      <c r="A247" s="86" t="str">
        <f t="shared" si="38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39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0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1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2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3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3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4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5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6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37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</row>
    <row r="248" spans="1:130" x14ac:dyDescent="0.35">
      <c r="A248" s="86" t="str">
        <f t="shared" si="38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39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0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1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2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3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3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4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5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6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37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</row>
    <row r="249" spans="1:130" x14ac:dyDescent="0.35">
      <c r="A249" s="86" t="str">
        <f t="shared" si="38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39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0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1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2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3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3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4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5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6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37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</row>
    <row r="250" spans="1:130" x14ac:dyDescent="0.35">
      <c r="A250" s="86" t="str">
        <f t="shared" si="38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39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0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1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2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3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3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4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5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6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37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</row>
    <row r="251" spans="1:130" x14ac:dyDescent="0.35">
      <c r="A251" s="86" t="str">
        <f t="shared" si="38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39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0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1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2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3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3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4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5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6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37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</row>
    <row r="252" spans="1:130" x14ac:dyDescent="0.35">
      <c r="A252" s="86" t="str">
        <f t="shared" si="38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39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0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1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2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3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3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4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5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6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37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</row>
    <row r="253" spans="1:130" x14ac:dyDescent="0.35">
      <c r="A253" s="86" t="str">
        <f t="shared" si="38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39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0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1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2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3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3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4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5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6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37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</row>
    <row r="254" spans="1:130" x14ac:dyDescent="0.35">
      <c r="A254" s="86" t="str">
        <f t="shared" si="38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39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0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1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2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3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3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4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5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6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37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</row>
    <row r="255" spans="1:130" x14ac:dyDescent="0.35">
      <c r="A255" s="86" t="str">
        <f t="shared" si="38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39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0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1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2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3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3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4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5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6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37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</row>
    <row r="256" spans="1:130" x14ac:dyDescent="0.35">
      <c r="A256" s="86" t="str">
        <f t="shared" si="38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39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0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1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2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3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3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4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5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6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37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</row>
    <row r="257" spans="1:130" x14ac:dyDescent="0.35">
      <c r="A257" s="86" t="str">
        <f t="shared" si="38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39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0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1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2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3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3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4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5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6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37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</row>
    <row r="258" spans="1:130" x14ac:dyDescent="0.35">
      <c r="A258" s="86" t="str">
        <f t="shared" si="38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39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0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1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2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3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3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4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5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6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37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</row>
    <row r="259" spans="1:130" x14ac:dyDescent="0.35">
      <c r="A259" s="86" t="str">
        <f t="shared" si="38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39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0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1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2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3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4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5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46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47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48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</row>
    <row r="260" spans="1:130" x14ac:dyDescent="0.35">
      <c r="A260" s="86" t="str">
        <f t="shared" ref="A260:A300" si="49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0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1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2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3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4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4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5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46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47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48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</row>
    <row r="261" spans="1:130" x14ac:dyDescent="0.35">
      <c r="A261" s="86" t="str">
        <f t="shared" si="49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0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1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2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3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4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4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5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46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47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48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1865</v>
      </c>
      <c r="DV261" t="s">
        <v>1866</v>
      </c>
      <c r="DW261" t="s">
        <v>459</v>
      </c>
      <c r="DX261">
        <v>35.200000000000003</v>
      </c>
      <c r="DY261">
        <v>40</v>
      </c>
      <c r="DZ261">
        <v>89.2</v>
      </c>
    </row>
    <row r="262" spans="1:130" x14ac:dyDescent="0.35">
      <c r="A262" s="86" t="str">
        <f t="shared" si="49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0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1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2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3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4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4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5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46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47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48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1865</v>
      </c>
      <c r="DV262" t="s">
        <v>1866</v>
      </c>
      <c r="DW262" t="s">
        <v>1291</v>
      </c>
      <c r="DX262">
        <v>0</v>
      </c>
      <c r="DY262">
        <v>5</v>
      </c>
      <c r="DZ262">
        <v>89.2</v>
      </c>
    </row>
    <row r="263" spans="1:130" x14ac:dyDescent="0.35">
      <c r="A263" s="86" t="str">
        <f t="shared" si="49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0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1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2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3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4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4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5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46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47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48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1865</v>
      </c>
      <c r="DV263" t="s">
        <v>1866</v>
      </c>
      <c r="DW263" t="s">
        <v>111</v>
      </c>
      <c r="DX263">
        <v>5</v>
      </c>
      <c r="DY263">
        <v>5</v>
      </c>
      <c r="DZ263">
        <v>89.2</v>
      </c>
    </row>
    <row r="264" spans="1:130" x14ac:dyDescent="0.35">
      <c r="A264" s="86" t="str">
        <f t="shared" si="49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0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1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2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3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4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4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5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46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47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48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1865</v>
      </c>
      <c r="DV264" t="s">
        <v>1866</v>
      </c>
      <c r="DW264" t="s">
        <v>953</v>
      </c>
      <c r="DX264">
        <v>18</v>
      </c>
      <c r="DY264">
        <v>18</v>
      </c>
      <c r="DZ264">
        <v>89.2</v>
      </c>
    </row>
    <row r="265" spans="1:130" x14ac:dyDescent="0.35">
      <c r="A265" s="86" t="str">
        <f t="shared" si="49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0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1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2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3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4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4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5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46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47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48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1865</v>
      </c>
      <c r="DV265" t="s">
        <v>1866</v>
      </c>
      <c r="DW265" t="s">
        <v>457</v>
      </c>
      <c r="DX265">
        <v>25</v>
      </c>
      <c r="DY265">
        <v>25</v>
      </c>
      <c r="DZ265">
        <v>89.2</v>
      </c>
    </row>
    <row r="266" spans="1:130" x14ac:dyDescent="0.35">
      <c r="A266" s="86" t="str">
        <f t="shared" si="49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0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1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2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3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4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4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5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46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47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48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1865</v>
      </c>
      <c r="DV266" t="s">
        <v>1866</v>
      </c>
      <c r="DW266" t="s">
        <v>458</v>
      </c>
      <c r="DX266">
        <v>6</v>
      </c>
      <c r="DY266">
        <v>12</v>
      </c>
      <c r="DZ266">
        <v>89.2</v>
      </c>
    </row>
    <row r="267" spans="1:130" x14ac:dyDescent="0.35">
      <c r="A267" s="86" t="str">
        <f t="shared" si="49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0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1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2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3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4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4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5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46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47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48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</row>
    <row r="268" spans="1:130" x14ac:dyDescent="0.35">
      <c r="A268" s="86" t="str">
        <f t="shared" si="49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0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1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2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3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4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4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5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46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47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48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</row>
    <row r="269" spans="1:130" x14ac:dyDescent="0.35">
      <c r="A269" s="86" t="str">
        <f t="shared" si="49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0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1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2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3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4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4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5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46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47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48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</row>
    <row r="270" spans="1:130" x14ac:dyDescent="0.35">
      <c r="A270" s="86" t="str">
        <f t="shared" si="49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0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1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2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3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4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4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5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46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47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48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</row>
    <row r="271" spans="1:130" x14ac:dyDescent="0.35">
      <c r="A271" s="86" t="str">
        <f t="shared" si="49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0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1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2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3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4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4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5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46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47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48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</row>
    <row r="272" spans="1:130" x14ac:dyDescent="0.35">
      <c r="A272" s="86" t="str">
        <f t="shared" si="49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0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1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2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3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4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4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5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46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47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48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</row>
    <row r="273" spans="1:130" x14ac:dyDescent="0.35">
      <c r="A273" s="86" t="str">
        <f t="shared" si="49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0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1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2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3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4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4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5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46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47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48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</row>
    <row r="274" spans="1:130" x14ac:dyDescent="0.35">
      <c r="A274" s="86" t="str">
        <f t="shared" si="49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0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1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2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3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4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4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5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46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47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48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</row>
    <row r="275" spans="1:130" x14ac:dyDescent="0.35">
      <c r="A275" s="86" t="str">
        <f t="shared" si="49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0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1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2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3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4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4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5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46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47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48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</row>
    <row r="276" spans="1:130" x14ac:dyDescent="0.35">
      <c r="A276" s="86" t="str">
        <f t="shared" si="49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0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1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2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3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4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4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5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46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47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48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</row>
    <row r="277" spans="1:130" x14ac:dyDescent="0.35">
      <c r="A277" s="86" t="str">
        <f t="shared" si="49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0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1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2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3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4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4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5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46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47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48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</row>
    <row r="278" spans="1:130" x14ac:dyDescent="0.35">
      <c r="A278" s="86" t="str">
        <f t="shared" si="49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0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1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2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3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4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4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5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46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47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48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</row>
    <row r="279" spans="1:130" x14ac:dyDescent="0.35">
      <c r="A279" s="86" t="str">
        <f t="shared" si="49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0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1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2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3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4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4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5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46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47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48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</row>
    <row r="280" spans="1:130" x14ac:dyDescent="0.35">
      <c r="A280" s="86" t="str">
        <f t="shared" si="49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0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1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2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3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4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4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5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46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47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48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</row>
    <row r="281" spans="1:130" x14ac:dyDescent="0.35">
      <c r="A281" s="86" t="str">
        <f t="shared" si="49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0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1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2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3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4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4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5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46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47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48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</row>
    <row r="282" spans="1:130" x14ac:dyDescent="0.35">
      <c r="A282" s="86" t="str">
        <f t="shared" si="49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0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1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2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3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4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4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5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46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47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48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</row>
    <row r="283" spans="1:130" x14ac:dyDescent="0.35">
      <c r="A283" s="86" t="str">
        <f t="shared" si="49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0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1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2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3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4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4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5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46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47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48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</row>
    <row r="284" spans="1:130" x14ac:dyDescent="0.35">
      <c r="A284" s="86" t="str">
        <f t="shared" si="49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0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1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2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3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4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4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5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46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47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48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</row>
    <row r="285" spans="1:130" x14ac:dyDescent="0.35">
      <c r="A285" s="86" t="str">
        <f t="shared" si="49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0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1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2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3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4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4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5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46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47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48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</row>
    <row r="286" spans="1:130" x14ac:dyDescent="0.35">
      <c r="A286" s="86" t="str">
        <f t="shared" si="49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0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1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2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3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4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4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5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46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47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48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</row>
    <row r="287" spans="1:130" x14ac:dyDescent="0.35">
      <c r="A287" s="86" t="str">
        <f t="shared" si="49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1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2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3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4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4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5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46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47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48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</row>
    <row r="288" spans="1:130" x14ac:dyDescent="0.35">
      <c r="A288" s="86" t="str">
        <f t="shared" si="49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1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2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3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4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4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5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46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47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48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</row>
    <row r="289" spans="1:130" x14ac:dyDescent="0.35">
      <c r="A289" s="86" t="str">
        <f t="shared" si="49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1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2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3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4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4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5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46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47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48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</row>
    <row r="290" spans="1:130" x14ac:dyDescent="0.35">
      <c r="A290" s="86" t="str">
        <f t="shared" si="49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1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2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3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4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4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5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46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47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48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</row>
    <row r="291" spans="1:130" x14ac:dyDescent="0.35">
      <c r="A291" s="86" t="str">
        <f t="shared" si="49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1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2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3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4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4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5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46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47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48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</row>
    <row r="292" spans="1:130" x14ac:dyDescent="0.35">
      <c r="A292" s="86" t="str">
        <f t="shared" si="49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1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2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3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4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4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5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46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47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48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</row>
    <row r="293" spans="1:130" x14ac:dyDescent="0.35">
      <c r="A293" s="86" t="str">
        <f t="shared" si="49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1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2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3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4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4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5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46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47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48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</row>
    <row r="294" spans="1:130" x14ac:dyDescent="0.35">
      <c r="A294" s="86" t="str">
        <f t="shared" si="49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1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2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3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4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4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5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46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47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48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</row>
    <row r="295" spans="1:130" x14ac:dyDescent="0.35">
      <c r="A295" s="86" t="str">
        <f t="shared" si="49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1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2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3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4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4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5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46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47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48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</row>
    <row r="296" spans="1:130" x14ac:dyDescent="0.35">
      <c r="A296" s="86" t="str">
        <f t="shared" si="49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1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2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3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4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4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5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46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47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48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</row>
    <row r="297" spans="1:130" x14ac:dyDescent="0.35">
      <c r="A297" s="86" t="str">
        <f t="shared" si="49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1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2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3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4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4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5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46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47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48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</row>
    <row r="298" spans="1:130" x14ac:dyDescent="0.35">
      <c r="A298" s="86" t="str">
        <f t="shared" si="49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1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4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4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5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46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47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48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</row>
    <row r="299" spans="1:130" x14ac:dyDescent="0.35">
      <c r="A299" s="86" t="str">
        <f t="shared" si="49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4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4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5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46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47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48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</row>
    <row r="300" spans="1:130" x14ac:dyDescent="0.35">
      <c r="A300" s="86" t="str">
        <f t="shared" si="49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4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4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5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46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47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48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</row>
    <row r="301" spans="1:130" x14ac:dyDescent="0.35">
      <c r="BH301" s="86" t="str">
        <f t="shared" si="54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4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5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46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47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48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</row>
    <row r="302" spans="1:130" x14ac:dyDescent="0.35">
      <c r="BH302" s="86" t="str">
        <f t="shared" si="54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4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5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46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47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48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</row>
    <row r="303" spans="1:130" x14ac:dyDescent="0.35">
      <c r="BH303" s="86" t="str">
        <f t="shared" si="54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4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5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46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47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48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</row>
    <row r="304" spans="1:130" x14ac:dyDescent="0.35">
      <c r="BH304" s="86" t="str">
        <f t="shared" si="54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4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5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46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47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48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</row>
    <row r="305" spans="60:130" x14ac:dyDescent="0.35">
      <c r="BH305" s="86" t="str">
        <f t="shared" si="54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4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5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46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47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48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</row>
    <row r="306" spans="60:130" x14ac:dyDescent="0.35">
      <c r="BH306" s="86" t="str">
        <f t="shared" si="54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4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5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46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47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48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</row>
    <row r="307" spans="60:130" x14ac:dyDescent="0.35">
      <c r="BH307" s="86" t="str">
        <f t="shared" si="54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4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5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46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47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48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</row>
    <row r="308" spans="60:130" x14ac:dyDescent="0.35">
      <c r="BH308" s="86" t="str">
        <f t="shared" si="54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4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5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46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47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48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</row>
    <row r="309" spans="60:130" x14ac:dyDescent="0.35">
      <c r="BH309" s="86" t="str">
        <f t="shared" si="54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4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5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46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47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48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</row>
    <row r="310" spans="60:130" x14ac:dyDescent="0.35">
      <c r="BH310" s="86" t="str">
        <f t="shared" si="54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4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5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46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47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48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</row>
    <row r="311" spans="60:130" x14ac:dyDescent="0.35">
      <c r="BH311" s="86" t="str">
        <f t="shared" si="54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4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5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46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47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48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</row>
    <row r="312" spans="60:130" x14ac:dyDescent="0.35">
      <c r="BH312" s="86" t="str">
        <f t="shared" si="54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4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5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46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47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48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</row>
    <row r="313" spans="60:130" x14ac:dyDescent="0.35">
      <c r="BH313" s="86" t="str">
        <f t="shared" si="54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4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5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46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47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48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</row>
    <row r="314" spans="60:130" x14ac:dyDescent="0.35">
      <c r="BH314" s="86" t="str">
        <f t="shared" si="54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4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5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46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47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48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</row>
    <row r="315" spans="60:130" x14ac:dyDescent="0.35">
      <c r="BH315" s="86" t="str">
        <f t="shared" si="54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4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5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46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47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48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</row>
    <row r="316" spans="60:130" x14ac:dyDescent="0.35">
      <c r="BH316" s="86" t="str">
        <f t="shared" si="54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4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5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46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47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48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</row>
    <row r="317" spans="60:130" x14ac:dyDescent="0.35">
      <c r="BH317" s="86" t="str">
        <f t="shared" si="54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4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5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46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47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48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</row>
    <row r="318" spans="60:130" x14ac:dyDescent="0.35">
      <c r="BH318" s="86" t="str">
        <f t="shared" si="54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4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5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46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47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48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</row>
    <row r="319" spans="60:130" x14ac:dyDescent="0.35">
      <c r="BT319" s="86" t="str">
        <f t="shared" si="44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5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46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47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48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</row>
    <row r="320" spans="60:130" x14ac:dyDescent="0.35">
      <c r="BT320" s="86" t="str">
        <f t="shared" si="44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5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46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47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48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</row>
    <row r="321" spans="72:130" x14ac:dyDescent="0.35">
      <c r="BT321" s="86" t="str">
        <f t="shared" si="44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5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46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47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48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</row>
    <row r="322" spans="72:130" x14ac:dyDescent="0.35">
      <c r="BT322" s="86" t="str">
        <f t="shared" si="44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5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46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47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48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</row>
    <row r="323" spans="72:130" x14ac:dyDescent="0.35">
      <c r="BT323" s="86" t="str">
        <f t="shared" ref="BT323:BT386" si="55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56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57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58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59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</row>
    <row r="324" spans="72:130" x14ac:dyDescent="0.35">
      <c r="BT324" s="86" t="str">
        <f t="shared" si="55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56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57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58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59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</row>
    <row r="325" spans="72:130" x14ac:dyDescent="0.35">
      <c r="BT325" s="86" t="str">
        <f t="shared" si="55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56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57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58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59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</row>
    <row r="326" spans="72:130" x14ac:dyDescent="0.35">
      <c r="BT326" s="86" t="str">
        <f t="shared" si="55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56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57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58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59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</row>
    <row r="327" spans="72:130" x14ac:dyDescent="0.35">
      <c r="BT327" s="86" t="str">
        <f t="shared" si="55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56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57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58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59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</row>
    <row r="328" spans="72:130" x14ac:dyDescent="0.35">
      <c r="BT328" s="86" t="str">
        <f t="shared" si="55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56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57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58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59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</row>
    <row r="329" spans="72:130" x14ac:dyDescent="0.35">
      <c r="BT329" s="86" t="str">
        <f t="shared" si="55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56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57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58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59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</row>
    <row r="330" spans="72:130" x14ac:dyDescent="0.35">
      <c r="BT330" s="86" t="str">
        <f t="shared" si="55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56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57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58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59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</row>
    <row r="331" spans="72:130" x14ac:dyDescent="0.35">
      <c r="BT331" s="86" t="str">
        <f t="shared" si="55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56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57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58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59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</row>
    <row r="332" spans="72:130" x14ac:dyDescent="0.35">
      <c r="BT332" s="86" t="str">
        <f t="shared" si="55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56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57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58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59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</row>
    <row r="333" spans="72:130" x14ac:dyDescent="0.35">
      <c r="BT333" s="86" t="str">
        <f t="shared" si="55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56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57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58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59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</row>
    <row r="334" spans="72:130" x14ac:dyDescent="0.35">
      <c r="BT334" s="86" t="str">
        <f t="shared" si="55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56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57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58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59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</row>
    <row r="335" spans="72:130" x14ac:dyDescent="0.35">
      <c r="BT335" s="86" t="str">
        <f t="shared" si="55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56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57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58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59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</row>
    <row r="336" spans="72:130" x14ac:dyDescent="0.35">
      <c r="BT336" s="86" t="str">
        <f t="shared" si="55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56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57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58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59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</row>
    <row r="337" spans="72:130" x14ac:dyDescent="0.35">
      <c r="BT337" s="86" t="str">
        <f t="shared" si="55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56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57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58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59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</row>
    <row r="338" spans="72:130" x14ac:dyDescent="0.35">
      <c r="BT338" s="86" t="str">
        <f t="shared" si="55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56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57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58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59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</row>
    <row r="339" spans="72:130" x14ac:dyDescent="0.35">
      <c r="BT339" s="86" t="str">
        <f t="shared" si="55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56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57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58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59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</row>
    <row r="340" spans="72:130" x14ac:dyDescent="0.35">
      <c r="BT340" s="86" t="str">
        <f t="shared" si="55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56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57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58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59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</row>
    <row r="341" spans="72:130" x14ac:dyDescent="0.35">
      <c r="BT341" s="86" t="str">
        <f t="shared" si="55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56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57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58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59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</row>
    <row r="342" spans="72:130" x14ac:dyDescent="0.35">
      <c r="BT342" s="86" t="str">
        <f t="shared" si="55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56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57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58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59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</row>
    <row r="343" spans="72:130" x14ac:dyDescent="0.35">
      <c r="BT343" s="86" t="str">
        <f t="shared" si="55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56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57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58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59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</row>
    <row r="344" spans="72:130" x14ac:dyDescent="0.35">
      <c r="BT344" s="86" t="str">
        <f t="shared" si="55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56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57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58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59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</row>
    <row r="345" spans="72:130" x14ac:dyDescent="0.35">
      <c r="BT345" s="86" t="str">
        <f t="shared" si="55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56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57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58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59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</row>
    <row r="346" spans="72:130" x14ac:dyDescent="0.35">
      <c r="BT346" s="86" t="str">
        <f t="shared" si="55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56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57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58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30" x14ac:dyDescent="0.35">
      <c r="BT347" s="86" t="str">
        <f t="shared" si="55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56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57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58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30" x14ac:dyDescent="0.35">
      <c r="BT348" s="86" t="str">
        <f t="shared" si="55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56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57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58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30" x14ac:dyDescent="0.35">
      <c r="BT349" s="86" t="str">
        <f t="shared" si="55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56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57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58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30" x14ac:dyDescent="0.35">
      <c r="BT350" s="86" t="str">
        <f t="shared" si="55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56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57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58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30" x14ac:dyDescent="0.35">
      <c r="BT351" s="86" t="str">
        <f t="shared" si="55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56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57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58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30" x14ac:dyDescent="0.35">
      <c r="BT352" s="86" t="str">
        <f t="shared" si="55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35">
      <c r="BT353" s="86" t="str">
        <f t="shared" si="55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35">
      <c r="BT354" s="86" t="str">
        <f t="shared" si="55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35">
      <c r="BT355" s="86" t="str">
        <f t="shared" si="55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35">
      <c r="BT356" s="86" t="str">
        <f t="shared" si="55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35">
      <c r="BT357" s="86" t="str">
        <f t="shared" si="55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35">
      <c r="BT358" s="86" t="str">
        <f t="shared" si="55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35">
      <c r="BT359" s="86" t="str">
        <f t="shared" si="55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35">
      <c r="BT360" s="86" t="str">
        <f t="shared" si="55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35">
      <c r="BT361" s="86" t="str">
        <f t="shared" si="55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35">
      <c r="BT362" s="86" t="str">
        <f t="shared" si="55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35">
      <c r="BT363" s="86" t="str">
        <f t="shared" si="55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35">
      <c r="BT364" s="86" t="str">
        <f t="shared" si="55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35">
      <c r="BT365" s="86" t="str">
        <f t="shared" si="55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35">
      <c r="BT366" s="86" t="str">
        <f t="shared" si="55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35">
      <c r="BT367" s="86" t="str">
        <f t="shared" si="55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35">
      <c r="BT368" s="86" t="str">
        <f t="shared" si="55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35">
      <c r="BT369" s="86" t="str">
        <f t="shared" si="55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35">
      <c r="BT370" s="86" t="str">
        <f t="shared" si="55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35">
      <c r="BT371" s="86" t="str">
        <f t="shared" si="55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35">
      <c r="BT372" s="86" t="str">
        <f t="shared" si="55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35">
      <c r="BT373" s="86" t="str">
        <f t="shared" si="55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35">
      <c r="BT374" s="86" t="str">
        <f t="shared" si="55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35">
      <c r="BT375" s="86" t="str">
        <f t="shared" si="55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35">
      <c r="BT376" s="86" t="str">
        <f t="shared" si="55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35">
      <c r="BT377" s="86" t="str">
        <f t="shared" si="55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35">
      <c r="BT378" s="86" t="str">
        <f t="shared" si="55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35">
      <c r="BT379" s="86" t="str">
        <f t="shared" si="55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35">
      <c r="BT380" s="86" t="str">
        <f t="shared" si="55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35">
      <c r="BT381" s="86" t="str">
        <f t="shared" si="55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35">
      <c r="BT382" s="86" t="str">
        <f t="shared" si="55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35">
      <c r="BT383" s="86" t="str">
        <f t="shared" si="55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35">
      <c r="BT384" s="86" t="str">
        <f t="shared" si="55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35">
      <c r="BT385" s="86" t="str">
        <f t="shared" si="55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35">
      <c r="BT386" s="86" t="str">
        <f t="shared" si="55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35">
      <c r="BT387" s="86" t="str">
        <f t="shared" ref="BT387:BT393" si="60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35">
      <c r="BT388" s="86" t="str">
        <f t="shared" si="60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35">
      <c r="BT389" s="86" t="str">
        <f t="shared" si="60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35">
      <c r="BT390" s="86" t="str">
        <f t="shared" si="60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35">
      <c r="BT391" s="86" t="str">
        <f t="shared" si="60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35">
      <c r="BT392" s="86" t="str">
        <f t="shared" si="60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35">
      <c r="BT393" s="86" t="str">
        <f t="shared" si="60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265625" defaultRowHeight="14.5" x14ac:dyDescent="0.35"/>
  <cols>
    <col min="1" max="1" width="1.26953125" style="130" customWidth="1"/>
    <col min="2" max="2" width="15.1796875" style="130" customWidth="1"/>
    <col min="3" max="3" width="8.81640625" style="130" bestFit="1" customWidth="1"/>
    <col min="4" max="4" width="9.7265625" style="130" bestFit="1" customWidth="1"/>
    <col min="5" max="5" width="9.26953125" style="130" bestFit="1" customWidth="1"/>
    <col min="6" max="6" width="17" style="130" bestFit="1" customWidth="1"/>
    <col min="7" max="7" width="39" style="130" bestFit="1" customWidth="1"/>
    <col min="8" max="8" width="23.26953125" style="130" bestFit="1" customWidth="1"/>
    <col min="9" max="9" width="17.26953125" style="130" bestFit="1" customWidth="1"/>
    <col min="10" max="10" width="13.81640625" style="130" bestFit="1" customWidth="1"/>
    <col min="11" max="11" width="17.26953125" style="127" bestFit="1" customWidth="1"/>
    <col min="12" max="16384" width="8.7265625" style="130"/>
  </cols>
  <sheetData>
    <row r="1" spans="2:11" s="127" customFormat="1" x14ac:dyDescent="0.35"/>
    <row r="2" spans="2:11" x14ac:dyDescent="0.3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3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3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3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3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3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3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3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3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3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3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3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3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3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3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3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3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3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3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3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3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3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3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3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3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3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3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3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3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3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3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3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3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3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3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3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3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3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3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3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3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3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3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3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3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3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3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3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3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3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3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3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3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3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3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3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3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3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3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3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3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3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3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3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3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3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3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3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3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3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3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3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3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3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3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3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3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3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3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3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3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3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3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3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3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3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3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3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3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3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3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3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3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3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3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3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3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3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3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3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3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3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3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3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3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3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3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3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3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3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3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3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3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3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3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3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3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3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3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3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3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3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3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3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3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3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3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3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3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3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2024-07-16T18:50:13Z</cp:lastPrinted>
  <dcterms:created xsi:type="dcterms:W3CDTF">2019-01-09T11:50:56Z</dcterms:created>
  <dcterms:modified xsi:type="dcterms:W3CDTF">2026-06-03T11:49:34Z</dcterms:modified>
</cp:coreProperties>
</file>