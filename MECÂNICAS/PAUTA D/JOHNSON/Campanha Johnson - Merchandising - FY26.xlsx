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95367251-2E3A-4BCF-BE55-02F7A90445B1}" xr6:coauthVersionLast="47" xr6:coauthVersionMax="47" xr10:uidLastSave="{00000000-0000-0000-0000-000000000000}"/>
  <bookViews>
    <workbookView xWindow="28680" yWindow="-120" windowWidth="29040" windowHeight="15720" activeTab="1" xr2:uid="{FB3810CD-89DA-4B85-A0EE-CE6518C3D397}"/>
  </bookViews>
  <sheets>
    <sheet name="Mecânica" sheetId="1" r:id="rId1"/>
    <sheet name="GER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D44" i="1" l="1"/>
  <c r="E43" i="1"/>
  <c r="E42" i="1"/>
  <c r="E41" i="1"/>
  <c r="C44" i="1"/>
  <c r="E39" i="1"/>
  <c r="E38" i="1"/>
  <c r="E44" i="1" l="1"/>
  <c r="E40" i="1"/>
</calcChain>
</file>

<file path=xl/sharedStrings.xml><?xml version="1.0" encoding="utf-8"?>
<sst xmlns="http://schemas.openxmlformats.org/spreadsheetml/2006/main" count="58" uniqueCount="31">
  <si>
    <t>Disponível</t>
  </si>
  <si>
    <t>Pago</t>
  </si>
  <si>
    <t>%</t>
  </si>
  <si>
    <t>GERENTE COMERCIAL</t>
  </si>
  <si>
    <t>GERENTE DE VENDAS</t>
  </si>
  <si>
    <t>SUPERVISORES/CONSULTORES</t>
  </si>
  <si>
    <t>VENDEDORES</t>
  </si>
  <si>
    <t>MERCHANDISING EXTERNO</t>
  </si>
  <si>
    <t>MERCHANDISING INTERNO</t>
  </si>
  <si>
    <t>TOTAL</t>
  </si>
  <si>
    <t>EQUIPE</t>
  </si>
  <si>
    <t>REDE</t>
  </si>
  <si>
    <t>LOJAS</t>
  </si>
  <si>
    <t>AUDITADA</t>
  </si>
  <si>
    <t>GAP</t>
  </si>
  <si>
    <t>MÉDIA</t>
  </si>
  <si>
    <t>FLP-SUL MC/KA D</t>
  </si>
  <si>
    <t>NORTE MC/KA D</t>
  </si>
  <si>
    <t xml:space="preserve">TT </t>
  </si>
  <si>
    <t>CONSULTOR MERCHANDISING</t>
  </si>
  <si>
    <t>DANIEL VIEIRA DOS SANTOS</t>
  </si>
  <si>
    <t>COORDENARDOR MERCHANDISING</t>
  </si>
  <si>
    <t>RICHARD RUDOLF BLOCK</t>
  </si>
  <si>
    <t>AREA</t>
  </si>
  <si>
    <t>NOME</t>
  </si>
  <si>
    <t>PONTOS</t>
  </si>
  <si>
    <t>ABRIL</t>
  </si>
  <si>
    <t>ATUALIZADO: 01/06/2026</t>
  </si>
  <si>
    <t>Q3 - JANEIRO A MARÇO 2026</t>
  </si>
  <si>
    <t>MARÇO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</si>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</sst>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"/>
    <numFmt numFmtId="165" formatCode="#,##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4" fontId="3" fillId="0" borderId="2" xfId="1" applyFont="1" applyBorder="1"/>
    <xf numFmtId="9" fontId="3" fillId="0" borderId="3" xfId="2" applyFont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44" fontId="4" fillId="3" borderId="1" xfId="0" applyNumberFormat="1" applyFont="1" applyFill="1" applyBorder="1" applyAlignment="1">
      <alignment horizontal="center"/>
    </xf>
    <xf numFmtId="44" fontId="4" fillId="3" borderId="5" xfId="0" applyNumberFormat="1" applyFont="1" applyFill="1" applyBorder="1" applyAlignment="1">
      <alignment horizontal="center"/>
    </xf>
    <xf numFmtId="9" fontId="4" fillId="3" borderId="6" xfId="2" applyFont="1" applyFill="1" applyBorder="1" applyAlignment="1">
      <alignment horizontal="center"/>
    </xf>
    <xf numFmtId="0" fontId="6" fillId="0" borderId="0" xfId="0" applyFont="1"/>
    <xf numFmtId="0" fontId="6" fillId="0" borderId="9" xfId="0" applyFont="1" applyBorder="1"/>
    <xf numFmtId="3" fontId="6" fillId="0" borderId="10" xfId="2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3" fontId="6" fillId="0" borderId="15" xfId="2" applyNumberFormat="1" applyFont="1" applyBorder="1" applyAlignment="1">
      <alignment horizontal="center"/>
    </xf>
    <xf numFmtId="3" fontId="3" fillId="4" borderId="17" xfId="2" applyNumberFormat="1" applyFont="1" applyFill="1" applyBorder="1" applyAlignment="1">
      <alignment horizontal="center"/>
    </xf>
    <xf numFmtId="9" fontId="3" fillId="4" borderId="16" xfId="2" applyFont="1" applyFill="1" applyBorder="1" applyAlignment="1">
      <alignment horizontal="center"/>
    </xf>
    <xf numFmtId="3" fontId="3" fillId="4" borderId="9" xfId="2" applyNumberFormat="1" applyFont="1" applyFill="1" applyBorder="1" applyAlignment="1">
      <alignment horizontal="center"/>
    </xf>
    <xf numFmtId="164" fontId="3" fillId="5" borderId="9" xfId="0" applyNumberFormat="1" applyFont="1" applyFill="1" applyBorder="1" applyAlignment="1">
      <alignment horizontal="center"/>
    </xf>
    <xf numFmtId="3" fontId="2" fillId="2" borderId="18" xfId="0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9" fontId="7" fillId="2" borderId="20" xfId="2" applyFont="1" applyFill="1" applyBorder="1" applyAlignment="1">
      <alignment horizontal="center"/>
    </xf>
    <xf numFmtId="164" fontId="2" fillId="2" borderId="20" xfId="0" applyNumberFormat="1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3" fontId="3" fillId="0" borderId="15" xfId="2" applyNumberFormat="1" applyFont="1" applyFill="1" applyBorder="1" applyAlignment="1">
      <alignment horizontal="center"/>
    </xf>
    <xf numFmtId="3" fontId="4" fillId="0" borderId="18" xfId="2" applyNumberFormat="1" applyFont="1" applyFill="1" applyBorder="1" applyAlignment="1">
      <alignment horizontal="center"/>
    </xf>
    <xf numFmtId="3" fontId="4" fillId="4" borderId="20" xfId="2" applyNumberFormat="1" applyFont="1" applyFill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9" fontId="0" fillId="0" borderId="9" xfId="0" applyNumberFormat="1" applyBorder="1"/>
    <xf numFmtId="0" fontId="0" fillId="0" borderId="9" xfId="0" applyBorder="1"/>
    <xf numFmtId="9" fontId="4" fillId="4" borderId="20" xfId="2" applyFont="1" applyFill="1" applyBorder="1" applyAlignment="1">
      <alignment horizontal="center"/>
    </xf>
    <xf numFmtId="164" fontId="4" fillId="5" borderId="20" xfId="2" applyNumberFormat="1" applyFont="1" applyFill="1" applyBorder="1" applyAlignment="1">
      <alignment horizontal="center"/>
    </xf>
    <xf numFmtId="2" fontId="0" fillId="0" borderId="9" xfId="0" applyNumberFormat="1" applyBorder="1"/>
    <xf numFmtId="0" fontId="3" fillId="4" borderId="9" xfId="2" applyNumberFormat="1" applyFont="1" applyFill="1" applyBorder="1" applyAlignment="1">
      <alignment horizontal="center"/>
    </xf>
    <xf numFmtId="0" fontId="4" fillId="4" borderId="20" xfId="2" applyNumberFormat="1" applyFont="1" applyFill="1" applyBorder="1" applyAlignment="1">
      <alignment horizontal="center"/>
    </xf>
    <xf numFmtId="165" fontId="3" fillId="5" borderId="23" xfId="0" applyNumberFormat="1" applyFont="1" applyFill="1" applyBorder="1" applyAlignment="1">
      <alignment horizontal="center"/>
    </xf>
    <xf numFmtId="164" fontId="4" fillId="5" borderId="24" xfId="0" applyNumberFormat="1" applyFont="1" applyFill="1" applyBorder="1" applyAlignment="1">
      <alignment horizontal="center"/>
    </xf>
    <xf numFmtId="164" fontId="3" fillId="5" borderId="9" xfId="2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microsoft.com/office/2007/relationships/hdphoto" Target="../media/hdphoto2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9787</xdr:colOff>
      <xdr:row>2</xdr:row>
      <xdr:rowOff>97430</xdr:rowOff>
    </xdr:from>
    <xdr:to>
      <xdr:col>12</xdr:col>
      <xdr:colOff>596899</xdr:colOff>
      <xdr:row>30</xdr:row>
      <xdr:rowOff>123266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76DB9F3-B33A-4A7D-A28C-3053D4D79DEA}"/>
            </a:ext>
          </a:extLst>
        </xdr:cNvPr>
        <xdr:cNvSpPr/>
      </xdr:nvSpPr>
      <xdr:spPr>
        <a:xfrm>
          <a:off x="43405" y="478430"/>
          <a:ext cx="9025141" cy="535983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JOHNSON - MERCHANDISING FY26</a:t>
          </a:r>
        </a:p>
        <a:p>
          <a:pPr marL="0" indent="0" eaLnBrk="1" fontAlgn="auto" latinLnBrk="0" hangingPunct="1"/>
          <a:endParaRPr lang="pt-BR" sz="1600" b="1" baseline="0">
            <a:solidFill>
              <a:schemeClr val="dk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PERÍODO: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JULHO 2025 a JUNHO 2026</a:t>
          </a: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GATILHO :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pt-BR" sz="1400" b="0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Minimo de 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80% </a:t>
          </a:r>
          <a:r>
            <a:rPr lang="pt-BR" sz="1400" b="0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 lojas auditadas para habilitar a premiação no mês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  <a:endParaRPr lang="pt-BR" sz="1400" b="0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COORDENADOR/ SUPERVISOR DE  MERCHANDISING: Richard e Daniel</a:t>
          </a:r>
        </a:p>
        <a:p>
          <a:pPr eaLnBrk="1" fontAlgn="auto" latinLnBrk="0" hangingPunct="1"/>
          <a:r>
            <a:rPr lang="pt-BR" sz="1400" b="0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Atingindo seu objetivo </a:t>
          </a:r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Mensal</a:t>
          </a:r>
          <a:r>
            <a:rPr lang="pt-BR" sz="1400" b="0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 Leitura de Lojas podera ganhar</a:t>
          </a:r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</a:t>
          </a: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DIAMANTE 10/9,5 = 500 Pontos</a:t>
          </a: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RUBI 9/9,4 = 350 Pontos</a:t>
          </a: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ESTRELA 8/8,9 = 300 Pontos</a:t>
          </a:r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400"/>
            <a:t> </a:t>
          </a: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PREMIAÇÃO MENSAL</a:t>
          </a:r>
        </a:p>
      </xdr:txBody>
    </xdr:sp>
    <xdr:clientData/>
  </xdr:twoCellAnchor>
  <xdr:twoCellAnchor>
    <xdr:from>
      <xdr:col>1</xdr:col>
      <xdr:colOff>2</xdr:colOff>
      <xdr:row>0</xdr:row>
      <xdr:rowOff>28575</xdr:rowOff>
    </xdr:from>
    <xdr:to>
      <xdr:col>13</xdr:col>
      <xdr:colOff>0</xdr:colOff>
      <xdr:row>2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9698438-2672-436C-B7CF-02E9F009540E}"/>
            </a:ext>
          </a:extLst>
        </xdr:cNvPr>
        <xdr:cNvSpPr/>
      </xdr:nvSpPr>
      <xdr:spPr>
        <a:xfrm>
          <a:off x="38102" y="28575"/>
          <a:ext cx="9077323" cy="47625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0</xdr:col>
      <xdr:colOff>0</xdr:colOff>
      <xdr:row>0</xdr:row>
      <xdr:rowOff>64823</xdr:rowOff>
    </xdr:from>
    <xdr:to>
      <xdr:col>4</xdr:col>
      <xdr:colOff>74083</xdr:colOff>
      <xdr:row>2</xdr:row>
      <xdr:rowOff>81492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E537090-9D03-40EA-92F7-C960EFAA013B}"/>
            </a:ext>
          </a:extLst>
        </xdr:cNvPr>
        <xdr:cNvSpPr/>
      </xdr:nvSpPr>
      <xdr:spPr>
        <a:xfrm>
          <a:off x="0" y="64823"/>
          <a:ext cx="3522133" cy="39766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JOHNSON</a:t>
          </a:r>
        </a:p>
      </xdr:txBody>
    </xdr:sp>
    <xdr:clientData/>
  </xdr:twoCellAnchor>
  <xdr:twoCellAnchor editAs="oneCell">
    <xdr:from>
      <xdr:col>12</xdr:col>
      <xdr:colOff>22412</xdr:colOff>
      <xdr:row>0</xdr:row>
      <xdr:rowOff>78442</xdr:rowOff>
    </xdr:from>
    <xdr:to>
      <xdr:col>12</xdr:col>
      <xdr:colOff>509412</xdr:colOff>
      <xdr:row>2</xdr:row>
      <xdr:rowOff>100853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E3B02DD-21C0-771C-5E1E-B42A5356C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08" b="94595" l="8209" r="91045">
                      <a14:foregroundMark x1="80597" y1="94595" x2="80597" y2="94595"/>
                      <a14:foregroundMark x1="91045" y1="33333" x2="91045" y2="33333"/>
                      <a14:foregroundMark x1="62687" y1="8108" x2="62687" y2="8108"/>
                      <a14:foregroundMark x1="35075" y1="59459" x2="35075" y2="59459"/>
                      <a14:foregroundMark x1="35075" y1="65766" x2="35075" y2="65766"/>
                      <a14:foregroundMark x1="36567" y1="72072" x2="36567" y2="72072"/>
                      <a14:foregroundMark x1="50746" y1="65766" x2="50746" y2="65766"/>
                      <a14:foregroundMark x1="68657" y1="64865" x2="68657" y2="6486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494059" y="78442"/>
          <a:ext cx="487000" cy="403411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533401</xdr:colOff>
      <xdr:row>14</xdr:row>
      <xdr:rowOff>47626</xdr:rowOff>
    </xdr:from>
    <xdr:to>
      <xdr:col>1</xdr:col>
      <xdr:colOff>951915</xdr:colOff>
      <xdr:row>15</xdr:row>
      <xdr:rowOff>180976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D4E69AB-770D-DE1A-D1A9-361767D15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1" y="2714626"/>
          <a:ext cx="418514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16</xdr:row>
      <xdr:rowOff>47625</xdr:rowOff>
    </xdr:from>
    <xdr:to>
      <xdr:col>1</xdr:col>
      <xdr:colOff>896854</xdr:colOff>
      <xdr:row>18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73C89E9-D2B7-7516-3608-B3BE7681A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3095625"/>
          <a:ext cx="315829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600076</xdr:colOff>
      <xdr:row>18</xdr:row>
      <xdr:rowOff>133351</xdr:rowOff>
    </xdr:from>
    <xdr:to>
      <xdr:col>1</xdr:col>
      <xdr:colOff>904876</xdr:colOff>
      <xdr:row>20</xdr:row>
      <xdr:rowOff>62107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40FF673-F0CD-4699-72C5-6A69F85BD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8176" y="3562351"/>
          <a:ext cx="304800" cy="309756"/>
        </a:xfrm>
        <a:prstGeom prst="rect">
          <a:avLst/>
        </a:prstGeom>
      </xdr:spPr>
    </xdr:pic>
    <xdr:clientData/>
  </xdr:twoCellAnchor>
  <xdr:twoCellAnchor editAs="oneCell">
    <xdr:from>
      <xdr:col>10</xdr:col>
      <xdr:colOff>435428</xdr:colOff>
      <xdr:row>23</xdr:row>
      <xdr:rowOff>130066</xdr:rowOff>
    </xdr:from>
    <xdr:to>
      <xdr:col>12</xdr:col>
      <xdr:colOff>562190</xdr:colOff>
      <xdr:row>30</xdr:row>
      <xdr:rowOff>31479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C8732B5-A57B-8862-C403-2B2F5333C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7299" b="96350" l="9877" r="92593">
                      <a14:foregroundMark x1="58025" y1="10219" x2="58025" y2="10219"/>
                      <a14:foregroundMark x1="91358" y1="51095" x2="91358" y2="51095"/>
                      <a14:foregroundMark x1="57407" y1="92701" x2="57407" y2="92701"/>
                      <a14:foregroundMark x1="54321" y1="97080" x2="54321" y2="97080"/>
                      <a14:foregroundMark x1="38272" y1="41606" x2="38272" y2="41606"/>
                      <a14:foregroundMark x1="45679" y1="35036" x2="45679" y2="35036"/>
                      <a14:foregroundMark x1="74691" y1="40876" x2="59259" y2="70803"/>
                      <a14:foregroundMark x1="60494" y1="56934" x2="50000" y2="43066"/>
                      <a14:foregroundMark x1="92593" y1="48905" x2="92593" y2="48905"/>
                      <a14:backgroundMark x1="8025" y1="75182" x2="13580" y2="8759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98228" y="4511566"/>
          <a:ext cx="1460262" cy="1234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A70F-2CFC-42CB-BF09-BAACDF27ADD2}">
  <sheetPr>
    <pageSetUpPr fitToPage="1"/>
  </sheetPr>
  <dimension ref="B37:E44"/>
  <sheetViews>
    <sheetView showGridLines="0" topLeftCell="A19" zoomScaleNormal="100" workbookViewId="0">
      <selection activeCell="R38" sqref="R38"/>
    </sheetView>
  </sheetViews>
  <sheetFormatPr defaultRowHeight="14.5" outlineLevelRow="1" x14ac:dyDescent="0.35"/>
  <cols>
    <col min="1" max="1" width="0.54296875" customWidth="1"/>
    <col min="2" max="2" width="26.26953125" bestFit="1" customWidth="1"/>
    <col min="3" max="3" width="12.54296875" bestFit="1" customWidth="1"/>
    <col min="4" max="4" width="12.26953125" customWidth="1"/>
    <col min="5" max="11" width="9.26953125" customWidth="1"/>
    <col min="12" max="12" width="10.7265625" customWidth="1"/>
    <col min="13" max="13" width="9.26953125" customWidth="1"/>
  </cols>
  <sheetData>
    <row r="37" spans="2:5" outlineLevel="1" x14ac:dyDescent="0.35">
      <c r="C37" s="1" t="s">
        <v>0</v>
      </c>
      <c r="D37" s="1" t="s">
        <v>1</v>
      </c>
      <c r="E37" s="1" t="s">
        <v>2</v>
      </c>
    </row>
    <row r="38" spans="2:5" outlineLevel="1" x14ac:dyDescent="0.35">
      <c r="B38" s="2" t="s">
        <v>3</v>
      </c>
      <c r="C38" s="3">
        <v>0</v>
      </c>
      <c r="D38" s="3">
        <v>0</v>
      </c>
      <c r="E38" s="4">
        <f t="shared" ref="E38:E44" si="0">IFERROR(D38/C38,)</f>
        <v>0</v>
      </c>
    </row>
    <row r="39" spans="2:5" outlineLevel="1" x14ac:dyDescent="0.35">
      <c r="B39" s="2" t="s">
        <v>4</v>
      </c>
      <c r="C39" s="3">
        <v>0</v>
      </c>
      <c r="D39" s="3">
        <v>0</v>
      </c>
      <c r="E39" s="4">
        <f t="shared" si="0"/>
        <v>0</v>
      </c>
    </row>
    <row r="40" spans="2:5" outlineLevel="1" x14ac:dyDescent="0.35">
      <c r="B40" s="2" t="s">
        <v>5</v>
      </c>
      <c r="C40" s="3">
        <v>0</v>
      </c>
      <c r="D40" s="3">
        <v>0</v>
      </c>
      <c r="E40" s="4">
        <f t="shared" si="0"/>
        <v>0</v>
      </c>
    </row>
    <row r="41" spans="2:5" outlineLevel="1" x14ac:dyDescent="0.35">
      <c r="B41" s="2" t="s">
        <v>6</v>
      </c>
      <c r="C41" s="3"/>
      <c r="D41" s="3">
        <v>0</v>
      </c>
      <c r="E41" s="4">
        <f t="shared" si="0"/>
        <v>0</v>
      </c>
    </row>
    <row r="42" spans="2:5" outlineLevel="1" x14ac:dyDescent="0.35">
      <c r="B42" s="5" t="s">
        <v>7</v>
      </c>
      <c r="C42" s="3">
        <v>6000</v>
      </c>
      <c r="D42" s="3">
        <v>950</v>
      </c>
      <c r="E42" s="4">
        <f t="shared" si="0"/>
        <v>0.15833333333333333</v>
      </c>
    </row>
    <row r="43" spans="2:5" outlineLevel="1" x14ac:dyDescent="0.35">
      <c r="B43" s="2" t="s">
        <v>8</v>
      </c>
      <c r="C43" s="3">
        <v>6000</v>
      </c>
      <c r="D43" s="3">
        <v>950</v>
      </c>
      <c r="E43" s="4">
        <f t="shared" si="0"/>
        <v>0.15833333333333333</v>
      </c>
    </row>
    <row r="44" spans="2:5" ht="15" outlineLevel="1" thickBot="1" x14ac:dyDescent="0.4">
      <c r="B44" s="6" t="s">
        <v>9</v>
      </c>
      <c r="C44" s="7">
        <f>SUM(C37:C43)</f>
        <v>12000</v>
      </c>
      <c r="D44" s="7">
        <f>SUM(D37:D43)</f>
        <v>1900</v>
      </c>
      <c r="E44" s="8">
        <f t="shared" si="0"/>
        <v>0.15833333333333333</v>
      </c>
    </row>
  </sheetData>
  <sheetProtection selectLockedCells="1" selectUnlockedCells="1"/>
  <pageMargins left="0" right="0" top="0" bottom="0" header="0" footer="0"/>
  <pageSetup paperSize="9" scale="69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43F0-0669-414F-9E1C-173E3BF19BDC}">
  <sheetPr>
    <pageSetUpPr fitToPage="1"/>
  </sheetPr>
  <dimension ref="A3:W16"/>
  <sheetViews>
    <sheetView showGridLines="0" tabSelected="1" workbookViewId="0">
      <selection activeCell="B17" sqref="B17"/>
    </sheetView>
  </sheetViews>
  <sheetFormatPr defaultRowHeight="14.5" x14ac:dyDescent="0.35"/>
  <cols>
    <col min="2" max="2" width="32" bestFit="1" customWidth="1"/>
    <col min="3" max="3" width="25.26953125" bestFit="1" customWidth="1"/>
    <col min="4" max="4" width="5.7265625" bestFit="1" customWidth="1"/>
    <col min="5" max="5" width="6.1796875" bestFit="1" customWidth="1"/>
    <col min="6" max="6" width="7.54296875" bestFit="1" customWidth="1"/>
    <col min="7" max="7" width="5.7265625" bestFit="1" customWidth="1"/>
    <col min="8" max="8" width="6.1796875" bestFit="1" customWidth="1"/>
    <col min="9" max="9" width="7.54296875" bestFit="1" customWidth="1"/>
    <col min="10" max="10" width="5.7265625" bestFit="1" customWidth="1"/>
    <col min="11" max="11" width="6.1796875" bestFit="1" customWidth="1"/>
    <col min="12" max="12" width="7.54296875" bestFit="1" customWidth="1"/>
    <col min="13" max="13" width="6.453125" bestFit="1" customWidth="1"/>
  </cols>
  <sheetData>
    <row r="3" spans="1:23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23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23" ht="15" thickBot="1" x14ac:dyDescent="0.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23" x14ac:dyDescent="0.35">
      <c r="A6" s="9"/>
      <c r="B6" s="52" t="s">
        <v>10</v>
      </c>
      <c r="C6" s="52" t="s">
        <v>11</v>
      </c>
      <c r="D6" s="47" t="s">
        <v>28</v>
      </c>
      <c r="E6" s="48"/>
      <c r="F6" s="48"/>
      <c r="G6" s="48"/>
      <c r="H6" s="49"/>
      <c r="I6" s="47" t="s">
        <v>29</v>
      </c>
      <c r="J6" s="48"/>
      <c r="K6" s="49"/>
      <c r="L6" s="49"/>
      <c r="M6" s="54"/>
      <c r="N6" s="47" t="s">
        <v>26</v>
      </c>
      <c r="O6" s="48"/>
      <c r="P6" s="49"/>
      <c r="Q6" s="49"/>
      <c r="R6" s="49"/>
      <c r="S6" s="47" t="s">
        <v>30</v>
      </c>
      <c r="T6" s="48"/>
      <c r="U6" s="49"/>
      <c r="V6" s="49"/>
      <c r="W6" s="49"/>
    </row>
    <row r="7" spans="1:23" ht="26" x14ac:dyDescent="0.35">
      <c r="A7" s="9"/>
      <c r="B7" s="53"/>
      <c r="C7" s="53"/>
      <c r="D7" s="14" t="s">
        <v>12</v>
      </c>
      <c r="E7" s="15" t="s">
        <v>13</v>
      </c>
      <c r="F7" s="15" t="s">
        <v>2</v>
      </c>
      <c r="G7" s="16" t="s">
        <v>14</v>
      </c>
      <c r="H7" s="15" t="s">
        <v>15</v>
      </c>
      <c r="I7" s="26" t="s">
        <v>12</v>
      </c>
      <c r="J7" s="27" t="s">
        <v>13</v>
      </c>
      <c r="K7" s="28" t="s">
        <v>2</v>
      </c>
      <c r="L7" s="29" t="s">
        <v>14</v>
      </c>
      <c r="M7" s="30" t="s">
        <v>15</v>
      </c>
      <c r="N7" s="26" t="s">
        <v>12</v>
      </c>
      <c r="O7" s="27" t="s">
        <v>13</v>
      </c>
      <c r="P7" s="28" t="s">
        <v>2</v>
      </c>
      <c r="Q7" s="29" t="s">
        <v>14</v>
      </c>
      <c r="R7" s="30" t="s">
        <v>15</v>
      </c>
      <c r="S7" s="26" t="s">
        <v>12</v>
      </c>
      <c r="T7" s="27" t="s">
        <v>13</v>
      </c>
      <c r="U7" s="28" t="s">
        <v>2</v>
      </c>
      <c r="V7" s="29" t="s">
        <v>14</v>
      </c>
      <c r="W7" s="30" t="s">
        <v>15</v>
      </c>
    </row>
    <row r="8" spans="1:23" x14ac:dyDescent="0.35">
      <c r="A8" s="9"/>
      <c r="B8" s="10" t="s">
        <v>16</v>
      </c>
      <c r="C8" s="11">
        <v>8</v>
      </c>
      <c r="D8" s="17">
        <v>33</v>
      </c>
      <c r="E8" s="18">
        <v>22</v>
      </c>
      <c r="F8" s="19">
        <v>0.66666666666666663</v>
      </c>
      <c r="G8" s="20">
        <v>-11</v>
      </c>
      <c r="H8" s="21">
        <v>80.644477074649487</v>
      </c>
      <c r="I8" s="31">
        <v>33</v>
      </c>
      <c r="J8" s="18">
        <v>26</v>
      </c>
      <c r="K8" s="19">
        <v>0.78787878787878785</v>
      </c>
      <c r="L8" s="20">
        <v>-7</v>
      </c>
      <c r="M8" s="44">
        <v>83.972692307692284</v>
      </c>
      <c r="N8" s="31">
        <v>33</v>
      </c>
      <c r="O8" s="18">
        <v>25</v>
      </c>
      <c r="P8" s="19">
        <v>0.75757575757575757</v>
      </c>
      <c r="Q8" s="20">
        <v>-8</v>
      </c>
      <c r="R8" s="21">
        <v>86.99799999999999</v>
      </c>
      <c r="S8" s="31">
        <v>33</v>
      </c>
      <c r="T8" s="18">
        <v>25</v>
      </c>
      <c r="U8" s="19">
        <v>0.75757575757575757</v>
      </c>
      <c r="V8" s="20">
        <v>-8</v>
      </c>
      <c r="W8" s="46">
        <v>90.86399999999999</v>
      </c>
    </row>
    <row r="9" spans="1:23" x14ac:dyDescent="0.35">
      <c r="A9" s="9"/>
      <c r="B9" s="10" t="s">
        <v>17</v>
      </c>
      <c r="C9" s="11">
        <v>6</v>
      </c>
      <c r="D9" s="17">
        <v>38</v>
      </c>
      <c r="E9" s="18">
        <v>28</v>
      </c>
      <c r="F9" s="19">
        <v>0.73684210526315785</v>
      </c>
      <c r="G9" s="20">
        <v>-10</v>
      </c>
      <c r="H9" s="21">
        <v>81.455104370915024</v>
      </c>
      <c r="I9" s="31">
        <v>38</v>
      </c>
      <c r="J9" s="18">
        <v>32</v>
      </c>
      <c r="K9" s="19">
        <v>0.84210526315789469</v>
      </c>
      <c r="L9" s="20">
        <v>-6</v>
      </c>
      <c r="M9" s="44">
        <v>89.627656249999987</v>
      </c>
      <c r="N9" s="31">
        <v>38</v>
      </c>
      <c r="O9" s="18">
        <v>33</v>
      </c>
      <c r="P9" s="19">
        <v>0.86842105263157898</v>
      </c>
      <c r="Q9" s="42">
        <v>-5</v>
      </c>
      <c r="R9" s="21">
        <v>89.071515151515143</v>
      </c>
      <c r="S9" s="31">
        <v>38</v>
      </c>
      <c r="T9" s="18">
        <v>32</v>
      </c>
      <c r="U9" s="19">
        <v>0.84210526315789469</v>
      </c>
      <c r="V9" s="20">
        <v>-6</v>
      </c>
      <c r="W9" s="46">
        <v>89.534062500000005</v>
      </c>
    </row>
    <row r="10" spans="1:23" ht="15" thickBot="1" x14ac:dyDescent="0.4">
      <c r="A10" s="9"/>
      <c r="B10" s="12" t="s">
        <v>18</v>
      </c>
      <c r="C10" s="12">
        <v>14</v>
      </c>
      <c r="D10" s="22">
        <v>71</v>
      </c>
      <c r="E10" s="23">
        <v>50</v>
      </c>
      <c r="F10" s="24">
        <v>0.70422535211267601</v>
      </c>
      <c r="G10" s="23">
        <v>-21</v>
      </c>
      <c r="H10" s="25">
        <v>81.127771848202869</v>
      </c>
      <c r="I10" s="32">
        <v>71</v>
      </c>
      <c r="J10" s="33">
        <v>58</v>
      </c>
      <c r="K10" s="39">
        <v>0.81690140845070425</v>
      </c>
      <c r="L10" s="33">
        <v>-13</v>
      </c>
      <c r="M10" s="45">
        <v>87.092672413793068</v>
      </c>
      <c r="N10" s="32">
        <v>71</v>
      </c>
      <c r="O10" s="33">
        <v>58</v>
      </c>
      <c r="P10" s="39">
        <v>0.81690140845070425</v>
      </c>
      <c r="Q10" s="43">
        <v>-13</v>
      </c>
      <c r="R10" s="40">
        <v>88.177758620689644</v>
      </c>
      <c r="S10" s="32">
        <v>71</v>
      </c>
      <c r="T10" s="33">
        <v>57</v>
      </c>
      <c r="U10" s="39">
        <v>0.80281690140845074</v>
      </c>
      <c r="V10" s="33">
        <v>-14</v>
      </c>
      <c r="W10" s="40">
        <v>90.117368421052603</v>
      </c>
    </row>
    <row r="11" spans="1:23" ht="15" thickBot="1" x14ac:dyDescent="0.4">
      <c r="A11" s="9"/>
      <c r="B11" s="13" t="s">
        <v>27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x14ac:dyDescent="0.35">
      <c r="A12" s="9"/>
      <c r="B12" s="9"/>
      <c r="C12" s="9"/>
      <c r="D12" s="50" t="s">
        <v>29</v>
      </c>
      <c r="E12" s="51"/>
      <c r="F12" s="48"/>
      <c r="G12" s="50" t="s">
        <v>26</v>
      </c>
      <c r="H12" s="51"/>
      <c r="I12" s="48"/>
      <c r="J12" s="50" t="s">
        <v>30</v>
      </c>
      <c r="K12" s="51"/>
      <c r="L12" s="48"/>
    </row>
    <row r="13" spans="1:23" ht="15" thickBot="1" x14ac:dyDescent="0.4">
      <c r="A13" s="9"/>
      <c r="B13" s="12" t="s">
        <v>23</v>
      </c>
      <c r="C13" s="12" t="s">
        <v>24</v>
      </c>
      <c r="D13" s="36" t="s">
        <v>12</v>
      </c>
      <c r="E13" s="36" t="s">
        <v>15</v>
      </c>
      <c r="F13" s="36" t="s">
        <v>25</v>
      </c>
      <c r="G13" s="36" t="s">
        <v>12</v>
      </c>
      <c r="H13" s="36" t="s">
        <v>15</v>
      </c>
      <c r="I13" s="36" t="s">
        <v>25</v>
      </c>
      <c r="J13" s="36" t="s">
        <v>12</v>
      </c>
      <c r="K13" s="36" t="s">
        <v>15</v>
      </c>
      <c r="L13" s="36" t="s">
        <v>25</v>
      </c>
      <c r="M13" s="9"/>
    </row>
    <row r="14" spans="1:23" x14ac:dyDescent="0.35">
      <c r="B14" s="35" t="s">
        <v>21</v>
      </c>
      <c r="C14" s="34" t="s">
        <v>22</v>
      </c>
      <c r="D14" s="37">
        <v>0.81690140845070425</v>
      </c>
      <c r="E14" s="41">
        <v>87.092672413793068</v>
      </c>
      <c r="F14" s="38">
        <v>300</v>
      </c>
      <c r="G14" s="37">
        <v>0.81690140845070425</v>
      </c>
      <c r="H14" s="41">
        <v>88.177758620689644</v>
      </c>
      <c r="I14" s="38">
        <v>300</v>
      </c>
      <c r="J14" s="37">
        <v>0.80281690140845074</v>
      </c>
      <c r="K14" s="41">
        <v>90.117368421052603</v>
      </c>
      <c r="L14" s="38">
        <v>350</v>
      </c>
    </row>
    <row r="15" spans="1:23" x14ac:dyDescent="0.35">
      <c r="B15" s="34" t="s">
        <v>19</v>
      </c>
      <c r="C15" s="34" t="s">
        <v>20</v>
      </c>
      <c r="D15" s="37">
        <v>0.81690140845070425</v>
      </c>
      <c r="E15" s="41">
        <v>87.092672413793068</v>
      </c>
      <c r="F15" s="38">
        <v>300</v>
      </c>
      <c r="G15" s="37">
        <v>0.81690140845070425</v>
      </c>
      <c r="H15" s="41">
        <v>88.177758620689644</v>
      </c>
      <c r="I15" s="38">
        <v>300</v>
      </c>
      <c r="J15" s="37">
        <v>0.80281690140845074</v>
      </c>
      <c r="K15" s="41">
        <v>90.117368421052603</v>
      </c>
      <c r="L15" s="38">
        <v>350</v>
      </c>
    </row>
    <row r="16" spans="1:23" x14ac:dyDescent="0.35">
      <c r="F16">
        <f>SUM(F14:F15)</f>
        <v>600</v>
      </c>
      <c r="I16">
        <v>600</v>
      </c>
      <c r="L16">
        <v>750</v>
      </c>
    </row>
  </sheetData>
  <mergeCells count="9">
    <mergeCell ref="S6:W6"/>
    <mergeCell ref="D12:F12"/>
    <mergeCell ref="G12:I12"/>
    <mergeCell ref="J12:L12"/>
    <mergeCell ref="B6:B7"/>
    <mergeCell ref="C6:C7"/>
    <mergeCell ref="D6:H6"/>
    <mergeCell ref="I6:M6"/>
    <mergeCell ref="N6:R6"/>
  </mergeCells>
  <conditionalFormatting sqref="P8:P9 K8:K10 U8:U10">
    <cfRule type="cellIs" dxfId="0" priority="1" operator="greaterThanOrEqual">
      <formula>1</formula>
    </cfRule>
  </conditionalFormatting>
  <pageMargins left="0.25" right="0.25" top="0.75" bottom="0.75" header="0.3" footer="0.3"/>
  <pageSetup paperSize="9" scale="64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Mecânica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Armando Abreu de Oliveira</dc:creator>
  <cp:lastModifiedBy>Victor Almeida Nunes</cp:lastModifiedBy>
  <cp:lastPrinted>2026-06-02T14:28:34Z</cp:lastPrinted>
  <dcterms:created xsi:type="dcterms:W3CDTF">2025-07-10T11:43:28Z</dcterms:created>
  <dcterms:modified xsi:type="dcterms:W3CDTF">2026-06-03T11:48:04Z</dcterms:modified>
</cp:coreProperties>
</file>